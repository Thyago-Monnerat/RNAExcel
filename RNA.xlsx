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/>
  <xr:revisionPtr revIDLastSave="0" documentId="8_{5EFBE99B-BC56-4872-AA55-FF950D5F56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N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2" l="1"/>
  <c r="B5" i="2"/>
  <c r="A5" i="2"/>
  <c r="C4" i="2"/>
  <c r="B4" i="2"/>
  <c r="A4" i="2"/>
  <c r="I3" i="2"/>
  <c r="H3" i="2"/>
  <c r="G3" i="2"/>
  <c r="F3" i="2"/>
  <c r="D3" i="2"/>
  <c r="C3" i="2"/>
  <c r="B3" i="2"/>
  <c r="A3" i="2"/>
  <c r="B68" i="2" l="1"/>
  <c r="B64" i="2"/>
  <c r="B60" i="2"/>
  <c r="B23" i="2"/>
  <c r="B19" i="2"/>
  <c r="B15" i="2"/>
  <c r="B69" i="2"/>
  <c r="B65" i="2"/>
  <c r="B61" i="2"/>
  <c r="B24" i="2"/>
  <c r="B20" i="2"/>
  <c r="B16" i="2"/>
  <c r="B70" i="2"/>
  <c r="B66" i="2"/>
  <c r="B62" i="2"/>
  <c r="B25" i="2"/>
  <c r="B21" i="2"/>
  <c r="B17" i="2"/>
  <c r="B113" i="2"/>
  <c r="B109" i="2"/>
  <c r="B105" i="2"/>
  <c r="B114" i="2"/>
  <c r="B110" i="2"/>
  <c r="B106" i="2"/>
  <c r="B115" i="2"/>
  <c r="B111" i="2"/>
  <c r="B107" i="2"/>
  <c r="B81" i="2"/>
  <c r="B77" i="2"/>
  <c r="B73" i="2"/>
  <c r="B36" i="2"/>
  <c r="B32" i="2"/>
  <c r="B28" i="2"/>
  <c r="B82" i="2"/>
  <c r="B78" i="2"/>
  <c r="B74" i="2"/>
  <c r="B37" i="2"/>
  <c r="B33" i="2"/>
  <c r="B29" i="2"/>
  <c r="B83" i="2"/>
  <c r="B79" i="2"/>
  <c r="B75" i="2"/>
  <c r="B38" i="2"/>
  <c r="B34" i="2"/>
  <c r="B30" i="2"/>
  <c r="B94" i="2"/>
  <c r="B90" i="2"/>
  <c r="B86" i="2"/>
  <c r="B49" i="2"/>
  <c r="B45" i="2"/>
  <c r="B41" i="2"/>
  <c r="B95" i="2"/>
  <c r="B91" i="2"/>
  <c r="B87" i="2"/>
  <c r="B50" i="2"/>
  <c r="B46" i="2"/>
  <c r="B42" i="2"/>
  <c r="B96" i="2"/>
  <c r="B92" i="2"/>
  <c r="B88" i="2"/>
  <c r="B51" i="2"/>
  <c r="B47" i="2"/>
  <c r="B43" i="2"/>
  <c r="G45" i="2" l="1"/>
  <c r="G46" i="2"/>
  <c r="G47" i="2"/>
  <c r="G32" i="2"/>
  <c r="G33" i="2"/>
  <c r="G34" i="2"/>
  <c r="G19" i="2"/>
  <c r="G20" i="2"/>
  <c r="G21" i="2"/>
  <c r="J20" i="2" l="1"/>
  <c r="J33" i="2"/>
  <c r="J46" i="2"/>
  <c r="P51" i="2" l="1"/>
  <c r="Q50" i="2"/>
  <c r="P50" i="2"/>
  <c r="P49" i="2"/>
  <c r="P47" i="2"/>
  <c r="U46" i="2"/>
  <c r="Q46" i="2"/>
  <c r="P46" i="2"/>
  <c r="K46" i="2"/>
  <c r="P45" i="2"/>
  <c r="P43" i="2"/>
  <c r="Q42" i="2"/>
  <c r="P42" i="2"/>
  <c r="P41" i="2"/>
  <c r="P38" i="2"/>
  <c r="Q37" i="2"/>
  <c r="P37" i="2"/>
  <c r="P36" i="2"/>
  <c r="P34" i="2"/>
  <c r="U33" i="2"/>
  <c r="Q33" i="2"/>
  <c r="P33" i="2"/>
  <c r="K33" i="2"/>
  <c r="P32" i="2"/>
  <c r="P30" i="2"/>
  <c r="Q29" i="2"/>
  <c r="P29" i="2"/>
  <c r="P28" i="2"/>
  <c r="T47" i="2"/>
  <c r="T46" i="2"/>
  <c r="T45" i="2"/>
  <c r="T34" i="2"/>
  <c r="T33" i="2"/>
  <c r="M33" i="2"/>
  <c r="T32" i="2"/>
  <c r="P25" i="2"/>
  <c r="Y38" i="2" s="1"/>
  <c r="AH38" i="2" s="1"/>
  <c r="Q24" i="2"/>
  <c r="Z37" i="2" s="1"/>
  <c r="AI37" i="2" s="1"/>
  <c r="P24" i="2"/>
  <c r="Y37" i="2" s="1"/>
  <c r="AH37" i="2" s="1"/>
  <c r="P23" i="2"/>
  <c r="Y36" i="2" s="1"/>
  <c r="AH36" i="2" s="1"/>
  <c r="T21" i="2"/>
  <c r="AC34" i="2" s="1"/>
  <c r="AL34" i="2" s="1"/>
  <c r="P21" i="2"/>
  <c r="Y34" i="2" s="1"/>
  <c r="AH34" i="2" s="1"/>
  <c r="U20" i="2"/>
  <c r="AD33" i="2" s="1"/>
  <c r="AM33" i="2" s="1"/>
  <c r="T20" i="2"/>
  <c r="AC33" i="2" s="1"/>
  <c r="AL33" i="2" s="1"/>
  <c r="Q20" i="2"/>
  <c r="Z33" i="2" s="1"/>
  <c r="AI33" i="2" s="1"/>
  <c r="P20" i="2"/>
  <c r="Y33" i="2" s="1"/>
  <c r="AH33" i="2" s="1"/>
  <c r="K20" i="2"/>
  <c r="T19" i="2"/>
  <c r="AC32" i="2" s="1"/>
  <c r="AL32" i="2" s="1"/>
  <c r="P19" i="2"/>
  <c r="Y32" i="2" s="1"/>
  <c r="AH32" i="2" s="1"/>
  <c r="P17" i="2"/>
  <c r="Y30" i="2" s="1"/>
  <c r="AH30" i="2" s="1"/>
  <c r="Q16" i="2"/>
  <c r="Z29" i="2" s="1"/>
  <c r="AI29" i="2" s="1"/>
  <c r="P16" i="2"/>
  <c r="Y29" i="2" s="1"/>
  <c r="AH29" i="2" s="1"/>
  <c r="P15" i="2"/>
  <c r="Y28" i="2" s="1"/>
  <c r="AH28" i="2" s="1"/>
  <c r="C86" i="2" l="1"/>
  <c r="C73" i="2"/>
  <c r="C60" i="2"/>
  <c r="C87" i="2"/>
  <c r="C74" i="2"/>
  <c r="C61" i="2"/>
  <c r="D87" i="2"/>
  <c r="D74" i="2"/>
  <c r="D61" i="2"/>
  <c r="C88" i="2"/>
  <c r="C75" i="2"/>
  <c r="C62" i="2"/>
  <c r="C90" i="2"/>
  <c r="C77" i="2"/>
  <c r="C64" i="2"/>
  <c r="H90" i="2"/>
  <c r="H77" i="2"/>
  <c r="H64" i="2"/>
  <c r="C91" i="2"/>
  <c r="C78" i="2"/>
  <c r="C65" i="2"/>
  <c r="D91" i="2"/>
  <c r="D78" i="2"/>
  <c r="D65" i="2"/>
  <c r="H91" i="2"/>
  <c r="H78" i="2"/>
  <c r="H65" i="2"/>
  <c r="I91" i="2"/>
  <c r="I78" i="2"/>
  <c r="I65" i="2"/>
  <c r="C92" i="2"/>
  <c r="C79" i="2"/>
  <c r="C66" i="2"/>
  <c r="H92" i="2"/>
  <c r="H79" i="2"/>
  <c r="H66" i="2"/>
  <c r="C94" i="2"/>
  <c r="C81" i="2"/>
  <c r="C68" i="2"/>
  <c r="C95" i="2"/>
  <c r="C82" i="2"/>
  <c r="C69" i="2"/>
  <c r="D95" i="2"/>
  <c r="D82" i="2"/>
  <c r="D69" i="2"/>
  <c r="C96" i="2"/>
  <c r="C83" i="2"/>
  <c r="C70" i="2"/>
  <c r="G66" i="2" l="1"/>
  <c r="G79" i="2"/>
  <c r="G92" i="2"/>
  <c r="G65" i="2"/>
  <c r="G78" i="2"/>
  <c r="G91" i="2"/>
  <c r="G64" i="2"/>
  <c r="J65" i="2" s="1"/>
  <c r="G77" i="2"/>
  <c r="J78" i="2" s="1"/>
  <c r="G90" i="2"/>
  <c r="J91" i="2" s="1"/>
  <c r="P96" i="2" l="1"/>
  <c r="Q95" i="2"/>
  <c r="P95" i="2"/>
  <c r="P94" i="2"/>
  <c r="P92" i="2"/>
  <c r="U91" i="2"/>
  <c r="Q91" i="2"/>
  <c r="P91" i="2"/>
  <c r="K91" i="2"/>
  <c r="P90" i="2"/>
  <c r="P88" i="2"/>
  <c r="Q87" i="2"/>
  <c r="P87" i="2"/>
  <c r="P86" i="2"/>
  <c r="P83" i="2"/>
  <c r="Q82" i="2"/>
  <c r="P82" i="2"/>
  <c r="P81" i="2"/>
  <c r="P79" i="2"/>
  <c r="U78" i="2"/>
  <c r="Q78" i="2"/>
  <c r="P78" i="2"/>
  <c r="K78" i="2"/>
  <c r="P77" i="2"/>
  <c r="P75" i="2"/>
  <c r="Q74" i="2"/>
  <c r="P74" i="2"/>
  <c r="P73" i="2"/>
  <c r="T92" i="2"/>
  <c r="T91" i="2"/>
  <c r="T90" i="2"/>
  <c r="T79" i="2"/>
  <c r="T78" i="2"/>
  <c r="M78" i="2"/>
  <c r="T77" i="2"/>
  <c r="P70" i="2"/>
  <c r="Y83" i="2" s="1"/>
  <c r="AH83" i="2" s="1"/>
  <c r="C115" i="2" s="1"/>
  <c r="Q69" i="2"/>
  <c r="Z82" i="2" s="1"/>
  <c r="AI82" i="2" s="1"/>
  <c r="D114" i="2" s="1"/>
  <c r="P69" i="2"/>
  <c r="Y82" i="2" s="1"/>
  <c r="AH82" i="2" s="1"/>
  <c r="C114" i="2" s="1"/>
  <c r="P68" i="2"/>
  <c r="Y81" i="2" s="1"/>
  <c r="AH81" i="2" s="1"/>
  <c r="C113" i="2" s="1"/>
  <c r="G111" i="2" s="1"/>
  <c r="T66" i="2"/>
  <c r="AC79" i="2" s="1"/>
  <c r="AL79" i="2" s="1"/>
  <c r="H111" i="2" s="1"/>
  <c r="P66" i="2"/>
  <c r="Y79" i="2" s="1"/>
  <c r="AH79" i="2" s="1"/>
  <c r="C111" i="2" s="1"/>
  <c r="U65" i="2"/>
  <c r="AD78" i="2" s="1"/>
  <c r="AM78" i="2" s="1"/>
  <c r="I110" i="2" s="1"/>
  <c r="T65" i="2"/>
  <c r="AC78" i="2" s="1"/>
  <c r="AL78" i="2" s="1"/>
  <c r="H110" i="2" s="1"/>
  <c r="Q65" i="2"/>
  <c r="Z78" i="2" s="1"/>
  <c r="AI78" i="2" s="1"/>
  <c r="D110" i="2" s="1"/>
  <c r="P65" i="2"/>
  <c r="Y78" i="2" s="1"/>
  <c r="AH78" i="2" s="1"/>
  <c r="C110" i="2" s="1"/>
  <c r="K65" i="2"/>
  <c r="T64" i="2"/>
  <c r="AC77" i="2" s="1"/>
  <c r="AL77" i="2" s="1"/>
  <c r="H109" i="2" s="1"/>
  <c r="P64" i="2"/>
  <c r="Y77" i="2" s="1"/>
  <c r="AH77" i="2" s="1"/>
  <c r="C109" i="2" s="1"/>
  <c r="G110" i="2" s="1"/>
  <c r="P62" i="2"/>
  <c r="Y75" i="2" s="1"/>
  <c r="AH75" i="2" s="1"/>
  <c r="C107" i="2" s="1"/>
  <c r="Q61" i="2"/>
  <c r="Z74" i="2" s="1"/>
  <c r="AI74" i="2" s="1"/>
  <c r="D106" i="2" s="1"/>
  <c r="P61" i="2"/>
  <c r="Y74" i="2" s="1"/>
  <c r="AH74" i="2" s="1"/>
  <c r="C106" i="2" s="1"/>
  <c r="P60" i="2"/>
  <c r="Y73" i="2" s="1"/>
  <c r="AH73" i="2" s="1"/>
  <c r="C105" i="2" s="1"/>
  <c r="G109" i="2" s="1"/>
  <c r="J110" i="2" s="1"/>
</calcChain>
</file>

<file path=xl/sharedStrings.xml><?xml version="1.0" encoding="utf-8"?>
<sst xmlns="http://schemas.openxmlformats.org/spreadsheetml/2006/main" count="109" uniqueCount="25">
  <si>
    <t>Treino</t>
  </si>
  <si>
    <t>Teste</t>
  </si>
  <si>
    <t>peso</t>
  </si>
  <si>
    <t>vel_média</t>
  </si>
  <si>
    <t>n_passag.</t>
  </si>
  <si>
    <t>y</t>
  </si>
  <si>
    <t>Entradas</t>
  </si>
  <si>
    <t>Erro</t>
  </si>
  <si>
    <t>Tx. Apr.</t>
  </si>
  <si>
    <t>Pesos</t>
  </si>
  <si>
    <t>Vieses</t>
  </si>
  <si>
    <t>Predições</t>
  </si>
  <si>
    <t>Saídas</t>
  </si>
  <si>
    <t>Época 1</t>
  </si>
  <si>
    <t>Alimentação</t>
  </si>
  <si>
    <t>Gradientes</t>
  </si>
  <si>
    <t>Linha 1</t>
  </si>
  <si>
    <t>Neurônio 1</t>
  </si>
  <si>
    <t>Neurônio 2</t>
  </si>
  <si>
    <t>Neurônio Saída</t>
  </si>
  <si>
    <t>Neurônio 3</t>
  </si>
  <si>
    <t>Gradientes médios</t>
  </si>
  <si>
    <t>Retropropagação</t>
  </si>
  <si>
    <t>Linha 2</t>
  </si>
  <si>
    <t>Linha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</si>
</sst>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80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2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9" borderId="5" xfId="0" applyFill="1" applyBorder="1"/>
    <xf numFmtId="0" fontId="0" fillId="9" borderId="6" xfId="0" applyFill="1" applyBorder="1"/>
    <xf numFmtId="0" fontId="0" fillId="9" borderId="0" xfId="0" applyFill="1"/>
    <xf numFmtId="0" fontId="0" fillId="10" borderId="7" xfId="0" applyFill="1" applyBorder="1"/>
    <xf numFmtId="0" fontId="0" fillId="10" borderId="8" xfId="0" applyFill="1" applyBorder="1"/>
    <xf numFmtId="0" fontId="0" fillId="10" borderId="8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0" fontId="0" fillId="10" borderId="0" xfId="0" applyFill="1"/>
    <xf numFmtId="0" fontId="0" fillId="10" borderId="5" xfId="0" applyFill="1" applyBorder="1"/>
    <xf numFmtId="0" fontId="0" fillId="4" borderId="2" xfId="0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1" xfId="0" applyFill="1" applyBorder="1"/>
    <xf numFmtId="0" fontId="0" fillId="12" borderId="5" xfId="0" applyFill="1" applyBorder="1"/>
    <xf numFmtId="0" fontId="0" fillId="12" borderId="0" xfId="0" applyFill="1"/>
    <xf numFmtId="0" fontId="0" fillId="12" borderId="0" xfId="0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9" borderId="15" xfId="0" applyFill="1" applyBorder="1"/>
    <xf numFmtId="0" fontId="0" fillId="4" borderId="16" xfId="0" applyFill="1" applyBorder="1" applyAlignment="1">
      <alignment horizontal="center" vertical="center" wrapText="1"/>
    </xf>
    <xf numFmtId="0" fontId="0" fillId="9" borderId="13" xfId="0" applyFill="1" applyBorder="1"/>
    <xf numFmtId="0" fontId="1" fillId="7" borderId="0" xfId="0" applyFont="1" applyFill="1" applyAlignment="1">
      <alignment horizontal="center" wrapText="1"/>
    </xf>
    <xf numFmtId="0" fontId="0" fillId="4" borderId="17" xfId="0" applyFill="1" applyBorder="1" applyAlignment="1">
      <alignment horizontal="center" vertical="center" wrapText="1"/>
    </xf>
    <xf numFmtId="0" fontId="0" fillId="9" borderId="10" xfId="0" applyFill="1" applyBorder="1"/>
    <xf numFmtId="0" fontId="0" fillId="9" borderId="7" xfId="0" applyFill="1" applyBorder="1"/>
    <xf numFmtId="0" fontId="0" fillId="9" borderId="8" xfId="0" applyFill="1" applyBorder="1"/>
    <xf numFmtId="0" fontId="0" fillId="4" borderId="9" xfId="0" applyFill="1" applyBorder="1" applyAlignment="1">
      <alignment horizontal="center" vertical="center" wrapText="1"/>
    </xf>
    <xf numFmtId="0" fontId="0" fillId="9" borderId="9" xfId="0" applyFill="1" applyBorder="1"/>
    <xf numFmtId="0" fontId="0" fillId="9" borderId="14" xfId="0" applyFill="1" applyBorder="1"/>
    <xf numFmtId="0" fontId="0" fillId="9" borderId="17" xfId="0" applyFill="1" applyBorder="1"/>
    <xf numFmtId="0" fontId="1" fillId="7" borderId="1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13" borderId="2" xfId="0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8471-9829-4C14-9589-DA135F6D0109}">
  <dimension ref="A1:AO116"/>
  <sheetViews>
    <sheetView tabSelected="1" workbookViewId="0">
      <selection activeCell="C8" sqref="C8"/>
    </sheetView>
  </sheetViews>
  <sheetFormatPr defaultRowHeight="15"/>
  <cols>
    <col min="1" max="1" width="10.85546875" bestFit="1" customWidth="1"/>
    <col min="2" max="2" width="19.7109375" bestFit="1" customWidth="1"/>
    <col min="3" max="3" width="9.7109375" bestFit="1" customWidth="1"/>
    <col min="4" max="4" width="6.140625" bestFit="1" customWidth="1"/>
    <col min="5" max="5" width="12.7109375" customWidth="1"/>
    <col min="6" max="6" width="14.5703125" bestFit="1" customWidth="1"/>
    <col min="7" max="7" width="10.140625" bestFit="1" customWidth="1"/>
    <col min="8" max="8" width="9.7109375" bestFit="1" customWidth="1"/>
    <col min="9" max="9" width="6.140625" bestFit="1" customWidth="1"/>
    <col min="10" max="10" width="9.28515625" bestFit="1" customWidth="1"/>
    <col min="11" max="11" width="9.5703125" bestFit="1" customWidth="1"/>
    <col min="12" max="12" width="7.42578125" bestFit="1" customWidth="1"/>
    <col min="13" max="13" width="9.28515625" customWidth="1"/>
    <col min="14" max="14" width="12.7109375" customWidth="1"/>
    <col min="15" max="15" width="10.85546875" bestFit="1" customWidth="1"/>
    <col min="16" max="17" width="11.42578125" bestFit="1" customWidth="1"/>
    <col min="18" max="18" width="12.7109375" customWidth="1"/>
    <col min="19" max="19" width="14.5703125" bestFit="1" customWidth="1"/>
    <col min="20" max="20" width="12.5703125" bestFit="1" customWidth="1"/>
    <col min="21" max="21" width="9.28515625" bestFit="1" customWidth="1"/>
    <col min="22" max="22" width="7.42578125" bestFit="1" customWidth="1"/>
    <col min="23" max="23" width="12.7109375" customWidth="1"/>
    <col min="24" max="24" width="10.85546875" bestFit="1" customWidth="1"/>
    <col min="25" max="26" width="12.5703125" bestFit="1" customWidth="1"/>
    <col min="27" max="27" width="12.7109375" customWidth="1"/>
    <col min="28" max="28" width="14.5703125" bestFit="1" customWidth="1"/>
    <col min="29" max="30" width="12.5703125" bestFit="1" customWidth="1"/>
    <col min="31" max="32" width="12.7109375" customWidth="1"/>
    <col min="33" max="33" width="10.85546875" bestFit="1" customWidth="1"/>
    <col min="34" max="35" width="12.5703125" bestFit="1" customWidth="1"/>
    <col min="36" max="36" width="12.7109375" customWidth="1"/>
    <col min="37" max="37" width="14.5703125" bestFit="1" customWidth="1"/>
    <col min="38" max="39" width="12.5703125" bestFit="1" customWidth="1"/>
    <col min="40" max="42" width="12.7109375" customWidth="1"/>
    <col min="43" max="43" width="10.85546875" bestFit="1" customWidth="1"/>
    <col min="44" max="44" width="4.42578125" bestFit="1" customWidth="1"/>
    <col min="45" max="46" width="12.5703125" bestFit="1" customWidth="1"/>
    <col min="47" max="47" width="12.7109375" customWidth="1"/>
    <col min="48" max="48" width="14.5703125" bestFit="1" customWidth="1"/>
    <col min="49" max="52" width="12.5703125" bestFit="1" customWidth="1"/>
    <col min="53" max="54" width="7.42578125" bestFit="1" customWidth="1"/>
    <col min="55" max="55" width="11.42578125" customWidth="1"/>
    <col min="56" max="56" width="12.7109375" customWidth="1"/>
    <col min="57" max="57" width="10.85546875" bestFit="1" customWidth="1"/>
    <col min="58" max="59" width="12.5703125" bestFit="1" customWidth="1"/>
    <col min="60" max="60" width="12.7109375" customWidth="1"/>
    <col min="61" max="61" width="14.5703125" bestFit="1" customWidth="1"/>
    <col min="62" max="63" width="12.5703125" bestFit="1" customWidth="1"/>
    <col min="64" max="64" width="7.42578125" bestFit="1" customWidth="1"/>
    <col min="65" max="65" width="12.7109375" customWidth="1"/>
    <col min="66" max="66" width="10.85546875" bestFit="1" customWidth="1"/>
    <col min="67" max="68" width="12.5703125" bestFit="1" customWidth="1"/>
    <col min="69" max="69" width="12.7109375" customWidth="1"/>
    <col min="70" max="70" width="14.5703125" bestFit="1" customWidth="1"/>
    <col min="71" max="72" width="12.5703125" bestFit="1" customWidth="1"/>
    <col min="73" max="74" width="12.7109375" customWidth="1"/>
    <col min="75" max="75" width="10.85546875" bestFit="1" customWidth="1"/>
    <col min="76" max="77" width="12.5703125" bestFit="1" customWidth="1"/>
    <col min="78" max="78" width="12.7109375" customWidth="1"/>
    <col min="79" max="79" width="14.5703125" bestFit="1" customWidth="1"/>
    <col min="80" max="81" width="12.5703125" bestFit="1" customWidth="1"/>
    <col min="82" max="84" width="12.7109375" customWidth="1"/>
    <col min="85" max="85" width="10.85546875" customWidth="1"/>
    <col min="86" max="86" width="6.140625" customWidth="1"/>
    <col min="87" max="88" width="12.5703125" customWidth="1"/>
    <col min="89" max="89" width="12.7109375" customWidth="1"/>
    <col min="90" max="90" width="14.5703125" customWidth="1"/>
    <col min="91" max="91" width="12.5703125" customWidth="1"/>
    <col min="92" max="93" width="12.7109375" customWidth="1"/>
    <col min="94" max="95" width="12.5703125" customWidth="1"/>
    <col min="96" max="96" width="12.7109375" customWidth="1"/>
  </cols>
  <sheetData>
    <row r="1" spans="1:41">
      <c r="A1" s="56" t="s">
        <v>0</v>
      </c>
      <c r="B1" s="56"/>
      <c r="C1" s="56"/>
      <c r="D1" s="56"/>
      <c r="F1" s="56" t="s">
        <v>1</v>
      </c>
      <c r="G1" s="56"/>
      <c r="H1" s="56"/>
      <c r="I1" s="56"/>
    </row>
    <row r="2" spans="1:41">
      <c r="A2" s="1" t="s">
        <v>2</v>
      </c>
      <c r="B2" s="1" t="s">
        <v>3</v>
      </c>
      <c r="C2" s="1" t="s">
        <v>4</v>
      </c>
      <c r="D2" s="2" t="s">
        <v>5</v>
      </c>
      <c r="F2" s="1" t="s">
        <v>2</v>
      </c>
      <c r="G2" s="1" t="s">
        <v>3</v>
      </c>
      <c r="H2" s="1" t="s">
        <v>4</v>
      </c>
      <c r="I2" s="2" t="s">
        <v>5</v>
      </c>
    </row>
    <row r="3" spans="1:41">
      <c r="A3" s="1">
        <f>1.2/100</f>
        <v>1.2E-2</v>
      </c>
      <c r="B3" s="1">
        <f>60/100</f>
        <v>0.6</v>
      </c>
      <c r="C3" s="1">
        <f>1/100</f>
        <v>0.01</v>
      </c>
      <c r="D3" s="2">
        <f>1</f>
        <v>1</v>
      </c>
      <c r="F3" s="1">
        <f>2.1/100</f>
        <v>2.1000000000000001E-2</v>
      </c>
      <c r="G3" s="1">
        <f>120/100</f>
        <v>1.2</v>
      </c>
      <c r="H3" s="1">
        <f>7/100</f>
        <v>7.0000000000000007E-2</v>
      </c>
      <c r="I3" s="2">
        <f>1</f>
        <v>1</v>
      </c>
    </row>
    <row r="4" spans="1:41">
      <c r="A4" s="1">
        <f>1.5/100</f>
        <v>1.4999999999999999E-2</v>
      </c>
      <c r="B4" s="1">
        <f>80/100</f>
        <v>0.8</v>
      </c>
      <c r="C4" s="1">
        <f>3/100</f>
        <v>0.03</v>
      </c>
      <c r="D4" s="2">
        <v>0</v>
      </c>
    </row>
    <row r="5" spans="1:41">
      <c r="A5" s="1">
        <f>1.8/100</f>
        <v>1.8000000000000002E-2</v>
      </c>
      <c r="B5" s="1">
        <f>100/100</f>
        <v>1</v>
      </c>
      <c r="C5" s="1">
        <f>5/100</f>
        <v>0.05</v>
      </c>
      <c r="D5" s="2">
        <v>0</v>
      </c>
    </row>
    <row r="6" spans="1:41">
      <c r="A6" s="3" t="s">
        <v>6</v>
      </c>
      <c r="B6" s="4" t="s">
        <v>7</v>
      </c>
      <c r="C6" s="5" t="s">
        <v>8</v>
      </c>
      <c r="D6" s="6"/>
    </row>
    <row r="7" spans="1:41">
      <c r="A7" s="61" t="s">
        <v>9</v>
      </c>
      <c r="B7" s="7" t="s">
        <v>10</v>
      </c>
      <c r="C7" s="5">
        <v>0.1</v>
      </c>
      <c r="D7" s="6"/>
    </row>
    <row r="8" spans="1:41">
      <c r="A8" s="8" t="s">
        <v>11</v>
      </c>
      <c r="B8" s="9" t="s">
        <v>12</v>
      </c>
      <c r="D8" s="6"/>
    </row>
    <row r="9" spans="1:41">
      <c r="B9" s="6"/>
      <c r="C9" s="6"/>
      <c r="D9" s="6"/>
    </row>
    <row r="10" spans="1:41">
      <c r="A10" s="53" t="s">
        <v>13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</row>
    <row r="11" spans="1:4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</row>
    <row r="12" spans="1:41">
      <c r="A12" s="54" t="s">
        <v>14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10"/>
      <c r="N12" s="11"/>
      <c r="O12" s="55" t="s">
        <v>15</v>
      </c>
      <c r="P12" s="55"/>
      <c r="Q12" s="55"/>
      <c r="R12" s="55"/>
      <c r="S12" s="55"/>
      <c r="T12" s="55"/>
      <c r="U12" s="55"/>
      <c r="V12" s="55"/>
      <c r="W12" s="10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1"/>
    </row>
    <row r="13" spans="1:41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10"/>
      <c r="N13" s="11"/>
      <c r="O13" s="55"/>
      <c r="P13" s="55"/>
      <c r="Q13" s="55"/>
      <c r="R13" s="55"/>
      <c r="S13" s="55"/>
      <c r="T13" s="55"/>
      <c r="U13" s="55"/>
      <c r="V13" s="55"/>
      <c r="W13" s="10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1"/>
    </row>
    <row r="14" spans="1:41">
      <c r="A14" s="13"/>
      <c r="B14" s="14"/>
      <c r="C14" s="14"/>
      <c r="D14" s="14"/>
      <c r="E14" s="14"/>
      <c r="F14" s="14"/>
      <c r="G14" s="14"/>
      <c r="H14" s="14"/>
      <c r="I14" s="14"/>
      <c r="J14" s="15"/>
      <c r="K14" s="16"/>
      <c r="L14" s="17" t="s">
        <v>16</v>
      </c>
      <c r="M14" s="10"/>
      <c r="N14" s="11"/>
      <c r="O14" s="16"/>
      <c r="P14" s="18"/>
      <c r="Q14" s="18"/>
      <c r="R14" s="18"/>
      <c r="S14" s="18"/>
      <c r="T14" s="18"/>
      <c r="U14" s="18"/>
      <c r="V14" s="17" t="s">
        <v>16</v>
      </c>
      <c r="W14" s="10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1"/>
    </row>
    <row r="15" spans="1:41">
      <c r="A15" s="19"/>
      <c r="B15" s="20">
        <f>$A$3</f>
        <v>1.2E-2</v>
      </c>
      <c r="C15" s="57">
        <v>0.28000000000000003</v>
      </c>
      <c r="D15" s="16"/>
      <c r="E15" s="16"/>
      <c r="F15" s="16"/>
      <c r="G15" s="16"/>
      <c r="H15" s="16"/>
      <c r="I15" s="16"/>
      <c r="J15" s="16"/>
      <c r="K15" s="16"/>
      <c r="L15" s="18"/>
      <c r="M15" s="10"/>
      <c r="N15" s="11"/>
      <c r="O15" s="16"/>
      <c r="P15" s="57">
        <f>((J20-$D$3)) * B15 * H19 * (IF(G19&gt;0,1,0)) * (J20 * (1-J20))</f>
        <v>-7.4509622336593095E-5</v>
      </c>
      <c r="Q15" s="16"/>
      <c r="R15" s="16"/>
      <c r="S15" s="16"/>
      <c r="T15" s="16"/>
      <c r="U15" s="18"/>
      <c r="V15" s="18"/>
      <c r="W15" s="10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1"/>
    </row>
    <row r="16" spans="1:41">
      <c r="A16" s="21" t="s">
        <v>17</v>
      </c>
      <c r="B16" s="20">
        <f>$B$3</f>
        <v>0.6</v>
      </c>
      <c r="C16" s="58">
        <v>0.89</v>
      </c>
      <c r="D16" s="22">
        <v>0.34</v>
      </c>
      <c r="E16" s="23"/>
      <c r="F16" s="16"/>
      <c r="G16" s="16"/>
      <c r="H16" s="16"/>
      <c r="I16" s="16"/>
      <c r="J16" s="16"/>
      <c r="K16" s="16"/>
      <c r="L16" s="18"/>
      <c r="M16" s="10"/>
      <c r="N16" s="11"/>
      <c r="O16" s="17" t="s">
        <v>17</v>
      </c>
      <c r="P16" s="57">
        <f>((J20-$D$3)) * B16 * H20 * (IF(G20&gt;0,1,0)) * (J20* (1-J20))</f>
        <v>-4.9673081557728739E-3</v>
      </c>
      <c r="Q16" s="22">
        <f>((J20-$D$3)) * H19* (IF(G19&gt;0,1,0)) * (J20 * (1-J20))</f>
        <v>-6.2091351947160924E-3</v>
      </c>
      <c r="R16" s="23"/>
      <c r="S16" s="16"/>
      <c r="T16" s="16"/>
      <c r="U16" s="18"/>
      <c r="V16" s="18"/>
      <c r="W16" s="10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1"/>
    </row>
    <row r="17" spans="1:41">
      <c r="A17" s="19"/>
      <c r="B17" s="20">
        <f>$C$3</f>
        <v>0.01</v>
      </c>
      <c r="C17" s="57">
        <v>0.74</v>
      </c>
      <c r="D17" s="16"/>
      <c r="E17" s="24"/>
      <c r="F17" s="16"/>
      <c r="G17" s="16"/>
      <c r="H17" s="16"/>
      <c r="I17" s="16"/>
      <c r="J17" s="16"/>
      <c r="K17" s="16"/>
      <c r="L17" s="18"/>
      <c r="M17" s="10"/>
      <c r="N17" s="11"/>
      <c r="O17" s="18"/>
      <c r="P17" s="57">
        <f>((J20-$D$3)) * B17 * H19* (IF(G19&gt;0,1,0))* (J20 * (1-J20))</f>
        <v>-6.2091351947160935E-5</v>
      </c>
      <c r="Q17" s="16"/>
      <c r="R17" s="24"/>
      <c r="S17" s="16"/>
      <c r="T17" s="16"/>
      <c r="U17" s="18"/>
      <c r="V17" s="18"/>
      <c r="W17" s="10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1"/>
    </row>
    <row r="18" spans="1:41">
      <c r="A18" s="19"/>
      <c r="B18" s="16"/>
      <c r="C18" s="16"/>
      <c r="D18" s="16"/>
      <c r="E18" s="24"/>
      <c r="F18" s="16"/>
      <c r="G18" s="16"/>
      <c r="H18" s="16"/>
      <c r="I18" s="16"/>
      <c r="J18" s="16"/>
      <c r="K18" s="16"/>
      <c r="L18" s="18"/>
      <c r="M18" s="10"/>
      <c r="N18" s="11"/>
      <c r="O18" s="18"/>
      <c r="P18" s="16"/>
      <c r="Q18" s="16"/>
      <c r="R18" s="24"/>
      <c r="S18" s="16"/>
      <c r="T18" s="16"/>
      <c r="U18" s="18"/>
      <c r="V18" s="18"/>
      <c r="W18" s="10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1"/>
    </row>
    <row r="19" spans="1:41">
      <c r="A19" s="19"/>
      <c r="B19" s="20">
        <f>$A$3</f>
        <v>1.2E-2</v>
      </c>
      <c r="C19" s="57">
        <v>0.09</v>
      </c>
      <c r="D19" s="16"/>
      <c r="E19" s="24"/>
      <c r="F19" s="16"/>
      <c r="G19" s="25">
        <f>MAX(0,(B15*C15) +(B16*C16) + (B17*C17) + D16)</f>
        <v>0.88475999999999999</v>
      </c>
      <c r="H19" s="57">
        <v>0.72</v>
      </c>
      <c r="I19" s="16"/>
      <c r="J19" s="16"/>
      <c r="K19" s="16"/>
      <c r="L19" s="18"/>
      <c r="M19" s="10"/>
      <c r="N19" s="11"/>
      <c r="O19" s="18"/>
      <c r="P19" s="57">
        <f>((J20-$D$3)) * B19 * H20* (IF(G20&gt;0,1,0))* (J20 * (1-J20))</f>
        <v>-9.9346163115457482E-5</v>
      </c>
      <c r="Q19" s="16"/>
      <c r="R19" s="24"/>
      <c r="S19" s="16"/>
      <c r="T19" s="57">
        <f>((J20-$D$3)) * G19 * (J20 * (1-J20))</f>
        <v>-7.6299922984402919E-3</v>
      </c>
      <c r="U19" s="16"/>
      <c r="V19" s="18"/>
      <c r="W19" s="10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1"/>
    </row>
    <row r="20" spans="1:41">
      <c r="A20" s="21" t="s">
        <v>18</v>
      </c>
      <c r="B20" s="20">
        <f>$B$3</f>
        <v>0.6</v>
      </c>
      <c r="C20" s="58">
        <v>0.98</v>
      </c>
      <c r="D20" s="22">
        <v>0.53</v>
      </c>
      <c r="E20" s="24"/>
      <c r="F20" s="17" t="s">
        <v>19</v>
      </c>
      <c r="G20" s="25">
        <f>MAX(0,(B19*C19) +(B20*C20) + (B21*C21) + D20)</f>
        <v>1.1288800000000001</v>
      </c>
      <c r="H20" s="58">
        <v>0.96</v>
      </c>
      <c r="I20" s="26">
        <v>0.32</v>
      </c>
      <c r="J20" s="27">
        <f>1 / (1 + EXP(-((G19*H19) +(G20*H20) + (G21*H21) + I20)))</f>
        <v>0.90223355529182925</v>
      </c>
      <c r="K20" s="28">
        <f>((J20-$D$3))</f>
        <v>-9.7766444708170752E-2</v>
      </c>
      <c r="L20" s="18"/>
      <c r="M20" s="10"/>
      <c r="N20" s="11"/>
      <c r="O20" s="17" t="s">
        <v>18</v>
      </c>
      <c r="P20" s="57">
        <f>((J20-$D$3)) * B20 * H20* (IF(G20&gt;0,1,0))* (J20 * (1-J20))</f>
        <v>-4.9673081557728739E-3</v>
      </c>
      <c r="Q20" s="22">
        <f>((J20-$D$3)) * H20* (IF(G20&gt;0,1,0)) * (J20 * (1-J20))</f>
        <v>-8.2788469262881238E-3</v>
      </c>
      <c r="R20" s="24"/>
      <c r="S20" s="17" t="s">
        <v>19</v>
      </c>
      <c r="T20" s="58">
        <f>((J20-$D$3)) * G20 * (J20 * (1-J20))</f>
        <v>-9.735234081404311E-3</v>
      </c>
      <c r="U20" s="22">
        <f>((J20-$D$3)) * (J20 * (1-J20))</f>
        <v>-8.6237988815501283E-3</v>
      </c>
      <c r="V20" s="18"/>
      <c r="W20" s="10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1"/>
    </row>
    <row r="21" spans="1:41">
      <c r="A21" s="19"/>
      <c r="B21" s="20">
        <f>$C$3</f>
        <v>0.01</v>
      </c>
      <c r="C21" s="57">
        <v>0.98</v>
      </c>
      <c r="D21" s="16"/>
      <c r="E21" s="24"/>
      <c r="F21" s="16"/>
      <c r="G21" s="25">
        <f>MAX(0,(B23*C23) +(B24*C24) + (B25*C25) + D24)</f>
        <v>0.90769999999999995</v>
      </c>
      <c r="H21" s="57">
        <v>0.2</v>
      </c>
      <c r="I21" s="16"/>
      <c r="J21" s="16"/>
      <c r="K21" s="16"/>
      <c r="L21" s="18"/>
      <c r="M21" s="10"/>
      <c r="N21" s="11"/>
      <c r="O21" s="18"/>
      <c r="P21" s="57">
        <f>(J20-$D$3) * B21 * H20* (IF(G20&gt;0,1,0))* (J20 * (1-J20))</f>
        <v>-8.2788469262881233E-5</v>
      </c>
      <c r="Q21" s="16"/>
      <c r="R21" s="24"/>
      <c r="S21" s="16"/>
      <c r="T21" s="57">
        <f>((J20-$D$3)) * G21 * (J20 * (1-J20))</f>
        <v>-7.8278222447830514E-3</v>
      </c>
      <c r="U21" s="16"/>
      <c r="V21" s="18"/>
      <c r="W21" s="10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1"/>
    </row>
    <row r="22" spans="1:41">
      <c r="A22" s="19"/>
      <c r="B22" s="16"/>
      <c r="C22" s="16"/>
      <c r="D22" s="16"/>
      <c r="E22" s="24"/>
      <c r="F22" s="16"/>
      <c r="G22" s="16"/>
      <c r="H22" s="16"/>
      <c r="I22" s="16"/>
      <c r="J22" s="16"/>
      <c r="K22" s="16"/>
      <c r="L22" s="18"/>
      <c r="M22" s="10"/>
      <c r="N22" s="11"/>
      <c r="O22" s="18"/>
      <c r="P22" s="16"/>
      <c r="Q22" s="16"/>
      <c r="R22" s="24"/>
      <c r="S22" s="16"/>
      <c r="T22" s="16"/>
      <c r="U22" s="18"/>
      <c r="V22" s="18"/>
      <c r="W22" s="10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1"/>
    </row>
    <row r="23" spans="1:41">
      <c r="A23" s="19"/>
      <c r="B23" s="20">
        <f>$A$3</f>
        <v>1.2E-2</v>
      </c>
      <c r="C23" s="57">
        <v>0.15</v>
      </c>
      <c r="D23" s="16"/>
      <c r="E23" s="24"/>
      <c r="F23" s="16"/>
      <c r="G23" s="16"/>
      <c r="H23" s="16"/>
      <c r="I23" s="16"/>
      <c r="J23" s="16"/>
      <c r="K23" s="16"/>
      <c r="L23" s="18"/>
      <c r="M23" s="10"/>
      <c r="N23" s="11"/>
      <c r="O23" s="18"/>
      <c r="P23" s="57">
        <f>((J20-$D$3)) * B23 * H21* (IF(G21&gt;0,1,0))* (J20 * (1-J20))</f>
        <v>-2.0697117315720308E-5</v>
      </c>
      <c r="Q23" s="16"/>
      <c r="R23" s="24"/>
      <c r="S23" s="16"/>
      <c r="T23" s="16"/>
      <c r="U23" s="18"/>
      <c r="V23" s="18"/>
      <c r="W23" s="10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1"/>
    </row>
    <row r="24" spans="1:41">
      <c r="A24" s="21" t="s">
        <v>20</v>
      </c>
      <c r="B24" s="20">
        <f>$B$3</f>
        <v>0.6</v>
      </c>
      <c r="C24" s="58">
        <v>0.13</v>
      </c>
      <c r="D24" s="22">
        <v>0.82</v>
      </c>
      <c r="E24" s="29"/>
      <c r="F24" s="16"/>
      <c r="G24" s="16"/>
      <c r="H24" s="16"/>
      <c r="I24" s="16"/>
      <c r="J24" s="16"/>
      <c r="K24" s="16"/>
      <c r="L24" s="18"/>
      <c r="M24" s="10"/>
      <c r="N24" s="11"/>
      <c r="O24" s="17" t="s">
        <v>20</v>
      </c>
      <c r="P24" s="57">
        <f>((J20-$D$3)) * B24 * H21* (IF(G21&gt;0,1,0))* (J20 * (1-J20))</f>
        <v>-1.0348558657860155E-3</v>
      </c>
      <c r="Q24" s="22">
        <f>((J20-$D$3)) * H21* (IF(G21&gt;0,1,0)) * (J20 * (1-J20))</f>
        <v>-1.7247597763100258E-3</v>
      </c>
      <c r="R24" s="29"/>
      <c r="S24" s="16"/>
      <c r="T24" s="16"/>
      <c r="U24" s="18"/>
      <c r="V24" s="18"/>
      <c r="W24" s="10"/>
      <c r="X24" s="30"/>
      <c r="Y24" s="30"/>
      <c r="Z24" s="30"/>
      <c r="AA24" s="30"/>
      <c r="AB24" s="30"/>
      <c r="AC24" s="30"/>
      <c r="AD24" s="30"/>
      <c r="AE24" s="30"/>
      <c r="AF24" s="12"/>
      <c r="AG24" s="30"/>
      <c r="AH24" s="30"/>
      <c r="AI24" s="30"/>
      <c r="AJ24" s="30"/>
      <c r="AK24" s="30"/>
      <c r="AL24" s="30"/>
      <c r="AM24" s="30"/>
      <c r="AN24" s="30"/>
      <c r="AO24" s="11"/>
    </row>
    <row r="25" spans="1:41">
      <c r="A25" s="19"/>
      <c r="B25" s="20">
        <f>$C$3</f>
        <v>0.01</v>
      </c>
      <c r="C25" s="57">
        <v>0.79</v>
      </c>
      <c r="D25" s="16"/>
      <c r="E25" s="16"/>
      <c r="F25" s="16"/>
      <c r="G25" s="16"/>
      <c r="H25" s="16"/>
      <c r="I25" s="16"/>
      <c r="J25" s="16"/>
      <c r="K25" s="16"/>
      <c r="L25" s="18"/>
      <c r="M25" s="10"/>
      <c r="N25" s="11"/>
      <c r="O25" s="18"/>
      <c r="P25" s="57">
        <f>((J20-$D$3)) * B25 * H21* (IF(G21&gt;0,1,0))* (J20 * (1-J20))</f>
        <v>-1.7247597763100262E-5</v>
      </c>
      <c r="Q25" s="16"/>
      <c r="R25" s="16"/>
      <c r="S25" s="16"/>
      <c r="T25" s="16"/>
      <c r="U25" s="18"/>
      <c r="V25" s="18"/>
      <c r="W25" s="31"/>
      <c r="X25" s="55" t="s">
        <v>21</v>
      </c>
      <c r="Y25" s="55"/>
      <c r="Z25" s="55"/>
      <c r="AA25" s="55"/>
      <c r="AB25" s="55"/>
      <c r="AC25" s="55"/>
      <c r="AD25" s="55"/>
      <c r="AE25" s="55"/>
      <c r="AF25" s="31"/>
      <c r="AG25" s="55" t="s">
        <v>22</v>
      </c>
      <c r="AH25" s="55"/>
      <c r="AI25" s="55"/>
      <c r="AJ25" s="55"/>
      <c r="AK25" s="55"/>
      <c r="AL25" s="55"/>
      <c r="AM25" s="55"/>
      <c r="AN25" s="55"/>
      <c r="AO25" s="31"/>
    </row>
    <row r="26" spans="1:41">
      <c r="A26" s="19"/>
      <c r="B26" s="18"/>
      <c r="C26" s="18"/>
      <c r="D26" s="18"/>
      <c r="E26" s="18"/>
      <c r="F26" s="18"/>
      <c r="G26" s="18"/>
      <c r="H26" s="18"/>
      <c r="I26" s="18"/>
      <c r="J26" s="18"/>
      <c r="K26" s="16"/>
      <c r="L26" s="18"/>
      <c r="M26" s="10"/>
      <c r="N26" s="11"/>
      <c r="O26" s="18"/>
      <c r="P26" s="18"/>
      <c r="Q26" s="18"/>
      <c r="R26" s="18"/>
      <c r="S26" s="18"/>
      <c r="T26" s="18"/>
      <c r="U26" s="18"/>
      <c r="V26" s="18"/>
      <c r="W26" s="31"/>
      <c r="X26" s="55"/>
      <c r="Y26" s="55"/>
      <c r="Z26" s="55"/>
      <c r="AA26" s="55"/>
      <c r="AB26" s="55"/>
      <c r="AC26" s="55"/>
      <c r="AD26" s="55"/>
      <c r="AE26" s="55"/>
      <c r="AF26" s="31"/>
      <c r="AG26" s="55"/>
      <c r="AH26" s="55"/>
      <c r="AI26" s="55"/>
      <c r="AJ26" s="55"/>
      <c r="AK26" s="55"/>
      <c r="AL26" s="55"/>
      <c r="AM26" s="55"/>
      <c r="AN26" s="55"/>
      <c r="AO26" s="31"/>
    </row>
    <row r="27" spans="1:41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4"/>
      <c r="L27" s="35" t="s">
        <v>23</v>
      </c>
      <c r="M27" s="10"/>
      <c r="N27" s="11"/>
      <c r="O27" s="33"/>
      <c r="P27" s="33"/>
      <c r="Q27" s="33"/>
      <c r="R27" s="33"/>
      <c r="S27" s="33"/>
      <c r="T27" s="34"/>
      <c r="U27" s="33"/>
      <c r="V27" s="35" t="s">
        <v>23</v>
      </c>
      <c r="W27" s="31"/>
      <c r="X27" s="33"/>
      <c r="Y27" s="34"/>
      <c r="Z27" s="34"/>
      <c r="AA27" s="34"/>
      <c r="AB27" s="34"/>
      <c r="AC27" s="34"/>
      <c r="AD27" s="34"/>
      <c r="AE27" s="34"/>
      <c r="AF27" s="31"/>
      <c r="AG27" s="34"/>
      <c r="AH27" s="33"/>
      <c r="AI27" s="33"/>
      <c r="AJ27" s="34"/>
      <c r="AK27" s="34"/>
      <c r="AL27" s="33"/>
      <c r="AM27" s="33"/>
      <c r="AN27" s="33"/>
      <c r="AO27" s="31"/>
    </row>
    <row r="28" spans="1:41">
      <c r="A28" s="32"/>
      <c r="B28" s="20">
        <f>$A$4</f>
        <v>1.4999999999999999E-2</v>
      </c>
      <c r="C28" s="57">
        <v>0.28000000000000003</v>
      </c>
      <c r="D28" s="34"/>
      <c r="E28" s="34"/>
      <c r="F28" s="34"/>
      <c r="G28" s="34"/>
      <c r="H28" s="34"/>
      <c r="I28" s="34"/>
      <c r="J28" s="33"/>
      <c r="K28" s="34"/>
      <c r="L28" s="33"/>
      <c r="M28" s="10"/>
      <c r="N28" s="11"/>
      <c r="O28" s="33"/>
      <c r="P28" s="57">
        <f>((J33-$D$4)) * B28 * H32* (IF(G32&gt;0,1,0)) * (J33 * (1-J33))</f>
        <v>6.5867596063931587E-4</v>
      </c>
      <c r="Q28" s="34"/>
      <c r="R28" s="34"/>
      <c r="S28" s="34"/>
      <c r="T28" s="34"/>
      <c r="U28" s="33"/>
      <c r="V28" s="33"/>
      <c r="W28" s="31"/>
      <c r="X28" s="33"/>
      <c r="Y28" s="57">
        <f>AVERAGE(P15,P28,P41)</f>
        <v>3.9164778626610101E-4</v>
      </c>
      <c r="Z28" s="34"/>
      <c r="AA28" s="34"/>
      <c r="AB28" s="34"/>
      <c r="AC28" s="34"/>
      <c r="AD28" s="34"/>
      <c r="AE28" s="34"/>
      <c r="AF28" s="31"/>
      <c r="AG28" s="34"/>
      <c r="AH28" s="57">
        <f>C28 - ($C$7*Y28)</f>
        <v>0.27996083522137344</v>
      </c>
      <c r="AI28" s="34"/>
      <c r="AJ28" s="34"/>
      <c r="AK28" s="34"/>
      <c r="AL28" s="34"/>
      <c r="AM28" s="33"/>
      <c r="AN28" s="33"/>
      <c r="AO28" s="31"/>
    </row>
    <row r="29" spans="1:41">
      <c r="A29" s="36" t="s">
        <v>17</v>
      </c>
      <c r="B29" s="20">
        <f>$B$4</f>
        <v>0.8</v>
      </c>
      <c r="C29" s="58">
        <v>0.89</v>
      </c>
      <c r="D29" s="22">
        <v>0.34</v>
      </c>
      <c r="E29" s="23"/>
      <c r="F29" s="34"/>
      <c r="G29" s="34"/>
      <c r="H29" s="34"/>
      <c r="I29" s="34"/>
      <c r="J29" s="33"/>
      <c r="K29" s="34"/>
      <c r="L29" s="33"/>
      <c r="M29" s="10"/>
      <c r="N29" s="11"/>
      <c r="O29" s="35" t="s">
        <v>17</v>
      </c>
      <c r="P29" s="57">
        <f>((J33-$D$4)) * B29 * H32* (IF(G32&gt;0,1,0))* (J33 * (1-J33))</f>
        <v>3.5129384567430179E-2</v>
      </c>
      <c r="Q29" s="22">
        <f>((J33-$D$4)) * H32* (IF(G32&gt;0,1,0)) * (J33 * (1-J33))</f>
        <v>4.3911730709287722E-2</v>
      </c>
      <c r="R29" s="23"/>
      <c r="S29" s="34"/>
      <c r="T29" s="34"/>
      <c r="U29" s="33"/>
      <c r="V29" s="33"/>
      <c r="W29" s="31"/>
      <c r="X29" s="35" t="s">
        <v>17</v>
      </c>
      <c r="Y29" s="57">
        <f>AVERAGE(P16,P29,P42)</f>
        <v>2.099434066491503E-2</v>
      </c>
      <c r="Z29" s="37">
        <f>AVERAGE(Q16,Q29,Q42)</f>
        <v>2.3507847032553136E-2</v>
      </c>
      <c r="AA29" s="23"/>
      <c r="AB29" s="34"/>
      <c r="AC29" s="34"/>
      <c r="AD29" s="34"/>
      <c r="AE29" s="34"/>
      <c r="AF29" s="31"/>
      <c r="AG29" s="35" t="s">
        <v>17</v>
      </c>
      <c r="AH29" s="58">
        <f>C29 - ($C$7*Y29)</f>
        <v>0.88790056593350852</v>
      </c>
      <c r="AI29" s="38">
        <f>D29-($C$7 * Z29)</f>
        <v>0.33764921529674469</v>
      </c>
      <c r="AJ29" s="23"/>
      <c r="AK29" s="34"/>
      <c r="AL29" s="34"/>
      <c r="AM29" s="33"/>
      <c r="AN29" s="33"/>
      <c r="AO29" s="31"/>
    </row>
    <row r="30" spans="1:41">
      <c r="A30" s="32"/>
      <c r="B30" s="20">
        <f>$C$4</f>
        <v>0.03</v>
      </c>
      <c r="C30" s="57">
        <v>0.74</v>
      </c>
      <c r="D30" s="16"/>
      <c r="E30" s="24"/>
      <c r="F30" s="34"/>
      <c r="G30" s="34"/>
      <c r="H30" s="34"/>
      <c r="I30" s="34"/>
      <c r="J30" s="33"/>
      <c r="K30" s="34"/>
      <c r="L30" s="33"/>
      <c r="M30" s="10"/>
      <c r="N30" s="11"/>
      <c r="O30" s="33"/>
      <c r="P30" s="57">
        <f>((J33-$D$4)) * B30 * H32* (IF(G32&gt;0,1,0))* (J33 * (1-J33))</f>
        <v>1.3173519212786317E-3</v>
      </c>
      <c r="Q30" s="34"/>
      <c r="R30" s="24"/>
      <c r="S30" s="34"/>
      <c r="T30" s="34"/>
      <c r="U30" s="33"/>
      <c r="V30" s="33"/>
      <c r="W30" s="31"/>
      <c r="X30" s="33"/>
      <c r="Y30" s="57">
        <f>AVERAGE(P17,P30,P43)</f>
        <v>9.6543594949528681E-4</v>
      </c>
      <c r="Z30" s="34"/>
      <c r="AA30" s="24"/>
      <c r="AB30" s="34"/>
      <c r="AC30" s="34"/>
      <c r="AD30" s="34"/>
      <c r="AE30" s="34"/>
      <c r="AF30" s="31"/>
      <c r="AG30" s="33"/>
      <c r="AH30" s="57">
        <f>C30 - ($C$7*Y30)</f>
        <v>0.73990345640505051</v>
      </c>
      <c r="AI30" s="34"/>
      <c r="AJ30" s="24"/>
      <c r="AK30" s="34"/>
      <c r="AL30" s="34"/>
      <c r="AM30" s="33"/>
      <c r="AN30" s="33"/>
      <c r="AO30" s="31"/>
    </row>
    <row r="31" spans="1:41">
      <c r="A31" s="32"/>
      <c r="B31" s="34"/>
      <c r="C31" s="34"/>
      <c r="D31" s="16"/>
      <c r="E31" s="24"/>
      <c r="F31" s="34"/>
      <c r="G31" s="34"/>
      <c r="H31" s="34"/>
      <c r="I31" s="34"/>
      <c r="J31" s="33"/>
      <c r="K31" s="34"/>
      <c r="L31" s="33"/>
      <c r="M31" s="39"/>
      <c r="N31" s="11"/>
      <c r="O31" s="33"/>
      <c r="P31" s="34"/>
      <c r="Q31" s="34"/>
      <c r="R31" s="24"/>
      <c r="S31" s="34"/>
      <c r="T31" s="34"/>
      <c r="U31" s="33"/>
      <c r="V31" s="33"/>
      <c r="W31" s="31"/>
      <c r="X31" s="33"/>
      <c r="Y31" s="34"/>
      <c r="Z31" s="34"/>
      <c r="AA31" s="24"/>
      <c r="AB31" s="34"/>
      <c r="AC31" s="34"/>
      <c r="AD31" s="34"/>
      <c r="AE31" s="34"/>
      <c r="AF31" s="31"/>
      <c r="AG31" s="33"/>
      <c r="AH31" s="34"/>
      <c r="AI31" s="34"/>
      <c r="AJ31" s="24"/>
      <c r="AK31" s="34"/>
      <c r="AL31" s="34"/>
      <c r="AM31" s="33"/>
      <c r="AN31" s="33"/>
      <c r="AO31" s="31"/>
    </row>
    <row r="32" spans="1:41">
      <c r="A32" s="32"/>
      <c r="B32" s="20">
        <f>$A$4</f>
        <v>1.4999999999999999E-2</v>
      </c>
      <c r="C32" s="57">
        <v>0.09</v>
      </c>
      <c r="D32" s="16"/>
      <c r="E32" s="24"/>
      <c r="F32" s="33"/>
      <c r="G32" s="40">
        <f>MAX(0,(B28*C28) +(B29*C29) + (B30*C30) + D29)</f>
        <v>1.0784</v>
      </c>
      <c r="H32" s="59">
        <v>0.72</v>
      </c>
      <c r="I32" s="34"/>
      <c r="J32" s="34"/>
      <c r="K32" s="33"/>
      <c r="L32" s="34"/>
      <c r="M32" s="34"/>
      <c r="N32" s="41"/>
      <c r="O32" s="33"/>
      <c r="P32" s="57">
        <f>((J33-$D$4)) * B32 * H33* (IF(G33&gt;0,1,0))* (J33 * (1-J33))</f>
        <v>8.7823461418575443E-4</v>
      </c>
      <c r="Q32" s="34"/>
      <c r="R32" s="24"/>
      <c r="S32" s="33"/>
      <c r="T32" s="57">
        <f>((J20-$D$4)) * G32 * (J33 * (1-J33))</f>
        <v>6.3848051765872008E-2</v>
      </c>
      <c r="U32" s="34"/>
      <c r="V32" s="33"/>
      <c r="W32" s="41"/>
      <c r="X32" s="33"/>
      <c r="Y32" s="57">
        <f>AVERAGE(P19,P32,P45)</f>
        <v>5.2219704835480135E-4</v>
      </c>
      <c r="Z32" s="34"/>
      <c r="AA32" s="24"/>
      <c r="AB32" s="33"/>
      <c r="AC32" s="57">
        <f>AVERAGE(T19,T32,T45)</f>
        <v>3.7107025145411976E-2</v>
      </c>
      <c r="AD32" s="34"/>
      <c r="AE32" s="34"/>
      <c r="AF32" s="41"/>
      <c r="AG32" s="33"/>
      <c r="AH32" s="57">
        <f>C32 - ($C$7*Y32)</f>
        <v>8.9947780295164523E-2</v>
      </c>
      <c r="AI32" s="34"/>
      <c r="AJ32" s="24"/>
      <c r="AK32" s="34"/>
      <c r="AL32" s="57">
        <f>H32-($C$7 * AC32)</f>
        <v>0.71628929748545878</v>
      </c>
      <c r="AM32" s="34"/>
      <c r="AN32" s="33"/>
      <c r="AO32" s="31"/>
    </row>
    <row r="33" spans="1:41">
      <c r="A33" s="36" t="s">
        <v>18</v>
      </c>
      <c r="B33" s="20">
        <f>$B$4</f>
        <v>0.8</v>
      </c>
      <c r="C33" s="58">
        <v>0.98</v>
      </c>
      <c r="D33" s="22">
        <v>0.53</v>
      </c>
      <c r="E33" s="24"/>
      <c r="F33" s="35" t="s">
        <v>19</v>
      </c>
      <c r="G33" s="25">
        <f>MAX(0,(B32*C32) +(B33*C33) + (B34*C34) + D33)</f>
        <v>1.3447499999999999</v>
      </c>
      <c r="H33" s="57">
        <v>0.96</v>
      </c>
      <c r="I33" s="38">
        <v>0.32</v>
      </c>
      <c r="J33" s="27">
        <f>1 / (1 + EXP(-((G32*H32) +(G33*H33) + (G34*H34) + I33)))</f>
        <v>0.92939271158207215</v>
      </c>
      <c r="K33" s="28">
        <f>((J33-$D$4))</f>
        <v>0.92939271158207215</v>
      </c>
      <c r="L33" s="33"/>
      <c r="M33" s="42">
        <f>AVERAGE(J20,J33,J46)</f>
        <v>0.92701876699674168</v>
      </c>
      <c r="N33" s="34"/>
      <c r="O33" s="35" t="s">
        <v>18</v>
      </c>
      <c r="P33" s="57">
        <f>((J33-$D$4)) * B33 * H33* (IF(G33&gt;0,1,0))* (J33 * (1-J33))</f>
        <v>4.6839179423240236E-2</v>
      </c>
      <c r="Q33" s="22">
        <f>((J33-$D$4)) * H33* (IF(G33&gt;0,1,0)) * (J33 * (1-J33))</f>
        <v>5.8548974279050293E-2</v>
      </c>
      <c r="R33" s="24"/>
      <c r="S33" s="35" t="s">
        <v>19</v>
      </c>
      <c r="T33" s="58">
        <f>((J20-$D$4)) * G33 * (J33 * (1-J33))</f>
        <v>7.9617644299106435E-2</v>
      </c>
      <c r="U33" s="22">
        <f>((J33-$D$4)) * (J33 * (1-J33))</f>
        <v>6.0988514874010726E-2</v>
      </c>
      <c r="V33" s="33"/>
      <c r="W33" s="33"/>
      <c r="X33" s="36" t="s">
        <v>18</v>
      </c>
      <c r="Y33" s="57">
        <f>AVERAGE(P20,P33,P46)</f>
        <v>2.8544377348305911E-2</v>
      </c>
      <c r="Z33" s="22">
        <f>AVERAGE(Q20,Q33,Q46)</f>
        <v>3.1343796043404183E-2</v>
      </c>
      <c r="AA33" s="24"/>
      <c r="AB33" s="35" t="s">
        <v>19</v>
      </c>
      <c r="AC33" s="58">
        <f>AVERAGE(T20,T33,T46)</f>
        <v>4.5828771074955997E-2</v>
      </c>
      <c r="AD33" s="38">
        <f>AVERAGE(U20,U33,U46)</f>
        <v>3.2649787545212694E-2</v>
      </c>
      <c r="AE33" s="34"/>
      <c r="AF33" s="34"/>
      <c r="AG33" s="35" t="s">
        <v>18</v>
      </c>
      <c r="AH33" s="58">
        <f>C33 - ($C$7*Y33)</f>
        <v>0.97714556226516935</v>
      </c>
      <c r="AI33" s="38">
        <f>D33-($C$7 * Z33)</f>
        <v>0.52686562039565965</v>
      </c>
      <c r="AJ33" s="24"/>
      <c r="AK33" s="35" t="s">
        <v>19</v>
      </c>
      <c r="AL33" s="58">
        <f>H33-($C$7 * AC33)</f>
        <v>0.95541712289250436</v>
      </c>
      <c r="AM33" s="38">
        <f>I33 - ($C$7 * AD33)</f>
        <v>0.31673502124547875</v>
      </c>
      <c r="AN33" s="33"/>
      <c r="AO33" s="31"/>
    </row>
    <row r="34" spans="1:41">
      <c r="A34" s="32"/>
      <c r="B34" s="20">
        <f>$C$4</f>
        <v>0.03</v>
      </c>
      <c r="C34" s="57">
        <v>0.98</v>
      </c>
      <c r="D34" s="16"/>
      <c r="E34" s="24"/>
      <c r="F34" s="34"/>
      <c r="G34" s="43">
        <f>MAX(0,(B36*C36) +(B37*C37) + (B38*C38) + D37)</f>
        <v>0.94994999999999996</v>
      </c>
      <c r="H34" s="60">
        <v>0.2</v>
      </c>
      <c r="I34" s="34"/>
      <c r="J34" s="34"/>
      <c r="K34" s="33"/>
      <c r="L34" s="34"/>
      <c r="M34" s="34"/>
      <c r="N34" s="44"/>
      <c r="O34" s="33"/>
      <c r="P34" s="57">
        <f>((J33-$D$4)) * B34 * H33* (IF(G33&gt;0,1,0))* (J33 * (1-J33))</f>
        <v>1.7564692283715089E-3</v>
      </c>
      <c r="Q34" s="34"/>
      <c r="R34" s="24"/>
      <c r="S34" s="34"/>
      <c r="T34" s="57">
        <f>((J20-$D$4)) * G34 * (J33 * (1-J33))</f>
        <v>5.6243005169686673E-2</v>
      </c>
      <c r="U34" s="34"/>
      <c r="V34" s="33"/>
      <c r="W34" s="44"/>
      <c r="X34" s="33"/>
      <c r="Y34" s="57">
        <f>AVERAGE(P21,P34,P47)</f>
        <v>7.0984240851346744E-4</v>
      </c>
      <c r="Z34" s="34"/>
      <c r="AA34" s="24"/>
      <c r="AB34" s="34"/>
      <c r="AC34" s="57">
        <f>AVERAGE(T21,T34,T47)</f>
        <v>3.0465305528139041E-2</v>
      </c>
      <c r="AD34" s="34"/>
      <c r="AE34" s="34"/>
      <c r="AF34" s="44"/>
      <c r="AG34" s="33"/>
      <c r="AH34" s="57">
        <f>C34 - ($C$7*Y34)</f>
        <v>0.97992901575914859</v>
      </c>
      <c r="AI34" s="34"/>
      <c r="AJ34" s="24"/>
      <c r="AK34" s="34"/>
      <c r="AL34" s="57">
        <f>H34-($C$7 * AC34)</f>
        <v>0.19695346944718611</v>
      </c>
      <c r="AM34" s="34"/>
      <c r="AN34" s="33"/>
      <c r="AO34" s="31"/>
    </row>
    <row r="35" spans="1:41">
      <c r="A35" s="32"/>
      <c r="B35" s="34"/>
      <c r="C35" s="34"/>
      <c r="D35" s="16"/>
      <c r="E35" s="24"/>
      <c r="F35" s="34"/>
      <c r="G35" s="34"/>
      <c r="H35" s="34"/>
      <c r="I35" s="34"/>
      <c r="J35" s="34"/>
      <c r="K35" s="34"/>
      <c r="L35" s="33"/>
      <c r="M35" s="45"/>
      <c r="N35" s="11"/>
      <c r="O35" s="33"/>
      <c r="P35" s="34"/>
      <c r="Q35" s="34"/>
      <c r="R35" s="24"/>
      <c r="S35" s="34"/>
      <c r="T35" s="34"/>
      <c r="U35" s="33"/>
      <c r="V35" s="33"/>
      <c r="W35" s="31"/>
      <c r="X35" s="33"/>
      <c r="Y35" s="34"/>
      <c r="Z35" s="34"/>
      <c r="AA35" s="24"/>
      <c r="AB35" s="34"/>
      <c r="AC35" s="34"/>
      <c r="AD35" s="34"/>
      <c r="AE35" s="34"/>
      <c r="AF35" s="31"/>
      <c r="AG35" s="33"/>
      <c r="AH35" s="34"/>
      <c r="AI35" s="34"/>
      <c r="AJ35" s="24"/>
      <c r="AK35" s="34"/>
      <c r="AL35" s="34"/>
      <c r="AM35" s="34"/>
      <c r="AN35" s="33"/>
      <c r="AO35" s="31"/>
    </row>
    <row r="36" spans="1:41">
      <c r="A36" s="32"/>
      <c r="B36" s="20">
        <f>$A$4</f>
        <v>1.4999999999999999E-2</v>
      </c>
      <c r="C36" s="57">
        <v>0.15</v>
      </c>
      <c r="D36" s="16"/>
      <c r="E36" s="24"/>
      <c r="F36" s="34"/>
      <c r="G36" s="34"/>
      <c r="H36" s="34"/>
      <c r="I36" s="34"/>
      <c r="J36" s="33"/>
      <c r="K36" s="34"/>
      <c r="L36" s="33"/>
      <c r="M36" s="10"/>
      <c r="N36" s="11"/>
      <c r="O36" s="33"/>
      <c r="P36" s="57">
        <f>(J33-$D$4) * B36 * H34* (IF(G34&gt;0,1,0))* (J33 * (1-J33))</f>
        <v>1.8296554462203217E-4</v>
      </c>
      <c r="Q36" s="34"/>
      <c r="R36" s="24"/>
      <c r="S36" s="34"/>
      <c r="T36" s="34"/>
      <c r="U36" s="33"/>
      <c r="V36" s="33"/>
      <c r="W36" s="31"/>
      <c r="X36" s="33"/>
      <c r="Y36" s="57">
        <f>AVERAGE(P23,P36,P49)</f>
        <v>1.0879105174058361E-4</v>
      </c>
      <c r="Z36" s="34"/>
      <c r="AA36" s="24"/>
      <c r="AB36" s="34"/>
      <c r="AC36" s="34"/>
      <c r="AD36" s="34"/>
      <c r="AE36" s="34"/>
      <c r="AF36" s="31"/>
      <c r="AG36" s="33"/>
      <c r="AH36" s="57">
        <f>C36 - ($C$7*Y36)</f>
        <v>0.14998912089482594</v>
      </c>
      <c r="AI36" s="34"/>
      <c r="AJ36" s="24"/>
      <c r="AK36" s="34"/>
      <c r="AL36" s="34"/>
      <c r="AM36" s="33"/>
      <c r="AN36" s="33"/>
      <c r="AO36" s="31"/>
    </row>
    <row r="37" spans="1:41">
      <c r="A37" s="36" t="s">
        <v>20</v>
      </c>
      <c r="B37" s="20">
        <f>$B$4</f>
        <v>0.8</v>
      </c>
      <c r="C37" s="57">
        <v>0.13</v>
      </c>
      <c r="D37" s="37">
        <v>0.82</v>
      </c>
      <c r="E37" s="29"/>
      <c r="F37" s="34"/>
      <c r="G37" s="34"/>
      <c r="H37" s="34"/>
      <c r="I37" s="34"/>
      <c r="J37" s="33"/>
      <c r="K37" s="34"/>
      <c r="L37" s="33"/>
      <c r="M37" s="10"/>
      <c r="N37" s="11"/>
      <c r="O37" s="35" t="s">
        <v>20</v>
      </c>
      <c r="P37" s="57">
        <f>((J33-$D$4)) * B37 * H34* (IF(G34&gt;0,1,0))* (J33 * (1-J33))</f>
        <v>9.7581623798417162E-3</v>
      </c>
      <c r="Q37" s="22">
        <f>((J33-$D$4)) * H34* (IF(G34&gt;0,1,0)) * (J33 * (1-J33))</f>
        <v>1.2197702974802145E-2</v>
      </c>
      <c r="R37" s="29"/>
      <c r="S37" s="34"/>
      <c r="T37" s="34"/>
      <c r="U37" s="33"/>
      <c r="V37" s="33"/>
      <c r="W37" s="31"/>
      <c r="X37" s="35" t="s">
        <v>20</v>
      </c>
      <c r="Y37" s="57">
        <f>AVERAGE(P24,P37,P50)</f>
        <v>5.9467452808970658E-3</v>
      </c>
      <c r="Z37" s="22">
        <f>AVERAGE(Q24,Q37,Q50)</f>
        <v>6.5299575090425376E-3</v>
      </c>
      <c r="AA37" s="29"/>
      <c r="AB37" s="34"/>
      <c r="AC37" s="34"/>
      <c r="AD37" s="34"/>
      <c r="AE37" s="34"/>
      <c r="AF37" s="31"/>
      <c r="AG37" s="35" t="s">
        <v>20</v>
      </c>
      <c r="AH37" s="58">
        <f>C37 - ($C$7*Y37)</f>
        <v>0.1294053254719103</v>
      </c>
      <c r="AI37" s="38">
        <f>D37-($C$7 * Z37)</f>
        <v>0.81934700424909568</v>
      </c>
      <c r="AJ37" s="29"/>
      <c r="AK37" s="34"/>
      <c r="AL37" s="34"/>
      <c r="AM37" s="33"/>
      <c r="AN37" s="33"/>
      <c r="AO37" s="31"/>
    </row>
    <row r="38" spans="1:41">
      <c r="A38" s="32"/>
      <c r="B38" s="20">
        <f>$C$4</f>
        <v>0.03</v>
      </c>
      <c r="C38" s="57">
        <v>0.79</v>
      </c>
      <c r="D38" s="34"/>
      <c r="E38" s="34"/>
      <c r="F38" s="34"/>
      <c r="G38" s="34"/>
      <c r="H38" s="34"/>
      <c r="I38" s="34"/>
      <c r="J38" s="33"/>
      <c r="K38" s="34"/>
      <c r="L38" s="33"/>
      <c r="M38" s="10"/>
      <c r="N38" s="11"/>
      <c r="O38" s="33"/>
      <c r="P38" s="57">
        <f>((J33-$D$4)) * B38 * H34* (IF(G34&gt;0,1,0))* (J33 * (1-J33))</f>
        <v>3.6593108924406434E-4</v>
      </c>
      <c r="Q38" s="34"/>
      <c r="R38" s="34"/>
      <c r="S38" s="34"/>
      <c r="T38" s="34"/>
      <c r="U38" s="33"/>
      <c r="V38" s="33"/>
      <c r="W38" s="31"/>
      <c r="X38" s="33"/>
      <c r="Y38" s="57">
        <f>AVERAGE(P25,P38,P51)</f>
        <v>2.6817665263757963E-4</v>
      </c>
      <c r="Z38" s="34"/>
      <c r="AA38" s="34"/>
      <c r="AB38" s="34"/>
      <c r="AC38" s="34"/>
      <c r="AD38" s="34"/>
      <c r="AE38" s="34"/>
      <c r="AF38" s="31"/>
      <c r="AG38" s="34"/>
      <c r="AH38" s="57">
        <f>C38 - ($C$7*Y38)</f>
        <v>0.78997318233473623</v>
      </c>
      <c r="AI38" s="34"/>
      <c r="AJ38" s="34"/>
      <c r="AK38" s="34"/>
      <c r="AL38" s="34"/>
      <c r="AM38" s="33"/>
      <c r="AN38" s="33"/>
      <c r="AO38" s="31"/>
    </row>
    <row r="39" spans="1:41">
      <c r="A39" s="32"/>
      <c r="B39" s="33"/>
      <c r="C39" s="33"/>
      <c r="D39" s="33"/>
      <c r="E39" s="33"/>
      <c r="F39" s="33"/>
      <c r="G39" s="33"/>
      <c r="H39" s="33"/>
      <c r="I39" s="33"/>
      <c r="J39" s="33"/>
      <c r="K39" s="34"/>
      <c r="L39" s="33"/>
      <c r="M39" s="10"/>
      <c r="N39" s="11"/>
      <c r="O39" s="33"/>
      <c r="P39" s="33"/>
      <c r="Q39" s="33"/>
      <c r="R39" s="33"/>
      <c r="S39" s="33"/>
      <c r="T39" s="33"/>
      <c r="U39" s="33"/>
      <c r="V39" s="33"/>
      <c r="W39" s="31"/>
      <c r="X39" s="33"/>
      <c r="Y39" s="34"/>
      <c r="Z39" s="34"/>
      <c r="AA39" s="34"/>
      <c r="AB39" s="34"/>
      <c r="AC39" s="34"/>
      <c r="AD39" s="34"/>
      <c r="AE39" s="34"/>
      <c r="AF39" s="31"/>
      <c r="AG39" s="34"/>
      <c r="AH39" s="33"/>
      <c r="AI39" s="33"/>
      <c r="AJ39" s="34"/>
      <c r="AK39" s="34"/>
      <c r="AL39" s="33"/>
      <c r="AM39" s="33"/>
      <c r="AN39" s="33"/>
      <c r="AO39" s="31"/>
    </row>
    <row r="40" spans="1:41">
      <c r="A40" s="19"/>
      <c r="B40" s="18"/>
      <c r="C40" s="18"/>
      <c r="D40" s="18"/>
      <c r="E40" s="18"/>
      <c r="F40" s="18"/>
      <c r="G40" s="18"/>
      <c r="H40" s="18"/>
      <c r="I40" s="18"/>
      <c r="J40" s="16"/>
      <c r="K40" s="18"/>
      <c r="L40" s="17" t="s">
        <v>24</v>
      </c>
      <c r="M40" s="10"/>
      <c r="N40" s="11"/>
      <c r="O40" s="18"/>
      <c r="P40" s="18"/>
      <c r="Q40" s="18"/>
      <c r="R40" s="18"/>
      <c r="S40" s="18"/>
      <c r="T40" s="18"/>
      <c r="U40" s="18"/>
      <c r="V40" s="17" t="s">
        <v>24</v>
      </c>
      <c r="W40" s="10"/>
      <c r="X40" s="46"/>
      <c r="Y40" s="46"/>
      <c r="Z40" s="46"/>
      <c r="AA40" s="46"/>
      <c r="AB40" s="46"/>
      <c r="AC40" s="46"/>
      <c r="AD40" s="46"/>
      <c r="AE40" s="46"/>
      <c r="AF40" s="12"/>
      <c r="AG40" s="46"/>
      <c r="AH40" s="46"/>
      <c r="AI40" s="46"/>
      <c r="AJ40" s="46"/>
      <c r="AK40" s="46"/>
      <c r="AL40" s="46"/>
      <c r="AM40" s="46"/>
      <c r="AN40" s="46"/>
      <c r="AO40" s="11"/>
    </row>
    <row r="41" spans="1:41">
      <c r="A41" s="19"/>
      <c r="B41" s="20">
        <f>$A$5</f>
        <v>1.8000000000000002E-2</v>
      </c>
      <c r="C41" s="57">
        <v>0.28000000000000003</v>
      </c>
      <c r="D41" s="16"/>
      <c r="E41" s="16"/>
      <c r="F41" s="16"/>
      <c r="G41" s="16"/>
      <c r="H41" s="16"/>
      <c r="I41" s="16"/>
      <c r="J41" s="18"/>
      <c r="K41" s="18"/>
      <c r="L41" s="18"/>
      <c r="M41" s="10"/>
      <c r="N41" s="11"/>
      <c r="O41" s="18"/>
      <c r="P41" s="57">
        <f>((J46-$D$5)) * B41 * H45* (IF(G45&gt;0,1,0)) * (J46 * (1-J46))</f>
        <v>5.9077702049558029E-4</v>
      </c>
      <c r="Q41" s="16"/>
      <c r="R41" s="16"/>
      <c r="S41" s="16"/>
      <c r="T41" s="16"/>
      <c r="U41" s="18"/>
      <c r="V41" s="18"/>
      <c r="W41" s="10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1"/>
    </row>
    <row r="42" spans="1:41">
      <c r="A42" s="21" t="s">
        <v>17</v>
      </c>
      <c r="B42" s="20">
        <f>$B$5</f>
        <v>1</v>
      </c>
      <c r="C42" s="58">
        <v>0.89</v>
      </c>
      <c r="D42" s="37">
        <v>0.34</v>
      </c>
      <c r="E42" s="23"/>
      <c r="F42" s="16"/>
      <c r="G42" s="16"/>
      <c r="H42" s="16"/>
      <c r="I42" s="16"/>
      <c r="J42" s="18"/>
      <c r="K42" s="18"/>
      <c r="L42" s="18"/>
      <c r="M42" s="10"/>
      <c r="N42" s="11"/>
      <c r="O42" s="17" t="s">
        <v>17</v>
      </c>
      <c r="P42" s="57">
        <f>((J46-$D$5)) * B42 * H45* (IF(G45&gt;0,1,0)) * (J46 * (1-J46))</f>
        <v>3.2820945583087784E-2</v>
      </c>
      <c r="Q42" s="22">
        <f>((J46-$D$5)) * H45* (IF(G45&gt;0,1,0)) * (J46 * (1-J46))</f>
        <v>3.2820945583087784E-2</v>
      </c>
      <c r="R42" s="23"/>
      <c r="S42" s="16"/>
      <c r="T42" s="16"/>
      <c r="U42" s="18"/>
      <c r="V42" s="18"/>
      <c r="W42" s="10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1"/>
    </row>
    <row r="43" spans="1:41">
      <c r="A43" s="19"/>
      <c r="B43" s="20">
        <f>$C$5</f>
        <v>0.05</v>
      </c>
      <c r="C43" s="57">
        <v>0.74</v>
      </c>
      <c r="D43" s="16"/>
      <c r="E43" s="24"/>
      <c r="F43" s="16"/>
      <c r="G43" s="16"/>
      <c r="H43" s="16"/>
      <c r="I43" s="16"/>
      <c r="J43" s="18"/>
      <c r="K43" s="18"/>
      <c r="L43" s="18"/>
      <c r="M43" s="10"/>
      <c r="N43" s="11"/>
      <c r="O43" s="18"/>
      <c r="P43" s="57">
        <f>((J46-$D$5)) * B43 * H45* (IF(G45&gt;0,1,0)) * (J46 * (1-J46))</f>
        <v>1.6410472791543894E-3</v>
      </c>
      <c r="Q43" s="16"/>
      <c r="R43" s="24"/>
      <c r="S43" s="16"/>
      <c r="T43" s="16"/>
      <c r="U43" s="18"/>
      <c r="V43" s="18"/>
      <c r="W43" s="10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1"/>
    </row>
    <row r="44" spans="1:41">
      <c r="A44" s="19"/>
      <c r="B44" s="16"/>
      <c r="C44" s="16"/>
      <c r="D44" s="16"/>
      <c r="E44" s="24"/>
      <c r="F44" s="16"/>
      <c r="G44" s="16"/>
      <c r="H44" s="16"/>
      <c r="I44" s="16"/>
      <c r="J44" s="18"/>
      <c r="K44" s="18"/>
      <c r="L44" s="18"/>
      <c r="M44" s="10"/>
      <c r="N44" s="11"/>
      <c r="O44" s="18"/>
      <c r="P44" s="16"/>
      <c r="Q44" s="16"/>
      <c r="R44" s="24"/>
      <c r="S44" s="16"/>
      <c r="T44" s="16"/>
      <c r="U44" s="18"/>
      <c r="V44" s="18"/>
      <c r="W44" s="10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1"/>
    </row>
    <row r="45" spans="1:41">
      <c r="A45" s="19"/>
      <c r="B45" s="20">
        <f>$A$5</f>
        <v>1.8000000000000002E-2</v>
      </c>
      <c r="C45" s="59">
        <v>0.09</v>
      </c>
      <c r="D45" s="16"/>
      <c r="E45" s="24"/>
      <c r="F45" s="18"/>
      <c r="G45" s="25">
        <f>MAX(0,(B41*C41) +(B42*C42) + (B43*C43) + D42)</f>
        <v>1.2720400000000001</v>
      </c>
      <c r="H45" s="57">
        <v>0.72</v>
      </c>
      <c r="I45" s="16"/>
      <c r="J45" s="16"/>
      <c r="K45" s="18"/>
      <c r="L45" s="18"/>
      <c r="M45" s="10"/>
      <c r="N45" s="11"/>
      <c r="O45" s="18"/>
      <c r="P45" s="57">
        <f>((J46-$D$5)) * B45 * H46* (IF(G46&gt;0,1,0)) * (J46 * (1-J46))</f>
        <v>7.8770269399410702E-4</v>
      </c>
      <c r="Q45" s="16"/>
      <c r="R45" s="24"/>
      <c r="S45" s="18"/>
      <c r="T45" s="57">
        <f>((J20-$D$5)) * G45 * (J46 * (1-J46))</f>
        <v>5.5103015968804216E-2</v>
      </c>
      <c r="U45" s="16"/>
      <c r="V45" s="18"/>
      <c r="W45" s="10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1"/>
    </row>
    <row r="46" spans="1:41">
      <c r="A46" s="21" t="s">
        <v>18</v>
      </c>
      <c r="B46" s="47">
        <f>$B$5</f>
        <v>1</v>
      </c>
      <c r="C46" s="57">
        <v>0.98</v>
      </c>
      <c r="D46" s="37">
        <v>0.53</v>
      </c>
      <c r="E46" s="24"/>
      <c r="F46" s="17" t="s">
        <v>19</v>
      </c>
      <c r="G46" s="25">
        <f>MAX(0,(B45*C45) +(B46*C46) + (B47*C47) + D46)</f>
        <v>1.5606199999999999</v>
      </c>
      <c r="H46" s="58">
        <v>0.96</v>
      </c>
      <c r="I46" s="37">
        <v>0.32</v>
      </c>
      <c r="J46" s="27">
        <f>1 / (1 + EXP(-((G45*H45) +(G46*H46) + (G47*H47) + I46)))</f>
        <v>0.94943003411632376</v>
      </c>
      <c r="K46" s="28">
        <f>((J46-$D$5))</f>
        <v>0.94943003411632376</v>
      </c>
      <c r="L46" s="18"/>
      <c r="M46" s="10"/>
      <c r="N46" s="11"/>
      <c r="O46" s="17" t="s">
        <v>18</v>
      </c>
      <c r="P46" s="57">
        <f>((J46-$D$5)) * B46 * H46* (IF(G46&gt;0,1,0)) * (J46 * (1-J46))</f>
        <v>4.3761260777450385E-2</v>
      </c>
      <c r="Q46" s="22">
        <f>((J46-$D$5)) * H46* (IF(G46&gt;0,1,0)) * (J46 * (1-J46))</f>
        <v>4.3761260777450385E-2</v>
      </c>
      <c r="R46" s="24"/>
      <c r="S46" s="17" t="s">
        <v>19</v>
      </c>
      <c r="T46" s="58">
        <f>((J20-$D$5)) * G46 * (J46 * (1-J46))</f>
        <v>6.7603903007165844E-2</v>
      </c>
      <c r="U46" s="22">
        <f>((J46-$D$5)) * (J46 * (1-J46))</f>
        <v>4.5584646643177483E-2</v>
      </c>
      <c r="V46" s="18"/>
      <c r="W46" s="10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1"/>
    </row>
    <row r="47" spans="1:41">
      <c r="A47" s="19"/>
      <c r="B47" s="20">
        <f>$C$5</f>
        <v>0.05</v>
      </c>
      <c r="C47" s="60">
        <v>0.98</v>
      </c>
      <c r="D47" s="16"/>
      <c r="E47" s="24"/>
      <c r="F47" s="16"/>
      <c r="G47" s="25">
        <f>MAX(0,(B49*C49) +(B50*C50) + (B51*C51) + D50)</f>
        <v>0.99219999999999997</v>
      </c>
      <c r="H47" s="57">
        <v>0.2</v>
      </c>
      <c r="I47" s="16"/>
      <c r="J47" s="16"/>
      <c r="K47" s="18"/>
      <c r="L47" s="18"/>
      <c r="M47" s="10"/>
      <c r="N47" s="11"/>
      <c r="O47" s="18"/>
      <c r="P47" s="57">
        <f>((J46-$D$5)) * B47 * H47* (IF(G47&gt;0,1,0)) * (J46 * (1-J46))</f>
        <v>4.5584646643177492E-4</v>
      </c>
      <c r="Q47" s="16"/>
      <c r="R47" s="24"/>
      <c r="S47" s="16"/>
      <c r="T47" s="57">
        <f>((J20-$D$5)) * G47 * (J46 * (1-J46))</f>
        <v>4.2980733659513493E-2</v>
      </c>
      <c r="U47" s="16"/>
      <c r="V47" s="18"/>
      <c r="W47" s="10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1"/>
    </row>
    <row r="48" spans="1:41">
      <c r="A48" s="19"/>
      <c r="B48" s="18"/>
      <c r="C48" s="16"/>
      <c r="D48" s="16"/>
      <c r="E48" s="24"/>
      <c r="F48" s="16"/>
      <c r="G48" s="16"/>
      <c r="H48" s="16"/>
      <c r="I48" s="16"/>
      <c r="J48" s="18"/>
      <c r="K48" s="18"/>
      <c r="L48" s="18"/>
      <c r="M48" s="10"/>
      <c r="N48" s="11"/>
      <c r="O48" s="18"/>
      <c r="P48" s="16"/>
      <c r="Q48" s="16"/>
      <c r="R48" s="24"/>
      <c r="S48" s="16"/>
      <c r="T48" s="16"/>
      <c r="U48" s="18"/>
      <c r="V48" s="18"/>
      <c r="W48" s="10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1"/>
    </row>
    <row r="49" spans="1:41">
      <c r="A49" s="19"/>
      <c r="B49" s="20">
        <f>$A$5</f>
        <v>1.8000000000000002E-2</v>
      </c>
      <c r="C49" s="57">
        <v>0.15</v>
      </c>
      <c r="D49" s="16"/>
      <c r="E49" s="24"/>
      <c r="F49" s="16"/>
      <c r="G49" s="16"/>
      <c r="H49" s="16"/>
      <c r="I49" s="16"/>
      <c r="J49" s="18"/>
      <c r="K49" s="18"/>
      <c r="L49" s="18"/>
      <c r="M49" s="10"/>
      <c r="N49" s="11"/>
      <c r="O49" s="18"/>
      <c r="P49" s="57">
        <f>((J46-$D$5)) * B49 * H47* (IF(G47&gt;0,1,0)) * (J46 * (1-J46))</f>
        <v>1.6410472791543896E-4</v>
      </c>
      <c r="Q49" s="16"/>
      <c r="R49" s="24"/>
      <c r="S49" s="16"/>
      <c r="T49" s="16"/>
      <c r="U49" s="18"/>
      <c r="V49" s="18"/>
      <c r="W49" s="10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1"/>
    </row>
    <row r="50" spans="1:41">
      <c r="A50" s="21" t="s">
        <v>20</v>
      </c>
      <c r="B50" s="20">
        <f>$B$5</f>
        <v>1</v>
      </c>
      <c r="C50" s="58">
        <v>0.13</v>
      </c>
      <c r="D50" s="22">
        <v>0.82</v>
      </c>
      <c r="E50" s="29"/>
      <c r="F50" s="16"/>
      <c r="G50" s="16"/>
      <c r="H50" s="16"/>
      <c r="I50" s="16"/>
      <c r="J50" s="18"/>
      <c r="K50" s="18"/>
      <c r="L50" s="18"/>
      <c r="M50" s="10"/>
      <c r="N50" s="11"/>
      <c r="O50" s="17" t="s">
        <v>20</v>
      </c>
      <c r="P50" s="57">
        <f>((J46-$D$5)) * B50 * H47* (IF(G47&gt;0,1,0)) * (J46 * (1-J46))</f>
        <v>9.1169293286354966E-3</v>
      </c>
      <c r="Q50" s="22">
        <f>((J46-$D$5)) * H47* (IF(G47&gt;0,1,0)) * (J46 * (1-J46))</f>
        <v>9.1169293286354966E-3</v>
      </c>
      <c r="R50" s="29"/>
      <c r="S50" s="16"/>
      <c r="T50" s="16"/>
      <c r="U50" s="18"/>
      <c r="V50" s="18"/>
      <c r="W50" s="10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1"/>
    </row>
    <row r="51" spans="1:41">
      <c r="A51" s="19"/>
      <c r="B51" s="20">
        <f>$C$5</f>
        <v>0.05</v>
      </c>
      <c r="C51" s="57">
        <v>0.79</v>
      </c>
      <c r="D51" s="16"/>
      <c r="E51" s="16"/>
      <c r="F51" s="16"/>
      <c r="G51" s="16"/>
      <c r="H51" s="16"/>
      <c r="I51" s="16"/>
      <c r="J51" s="18"/>
      <c r="K51" s="18"/>
      <c r="L51" s="18"/>
      <c r="M51" s="10"/>
      <c r="N51" s="11"/>
      <c r="O51" s="18"/>
      <c r="P51" s="57">
        <f>((J46-$D$5)) * B51 * H47* (IF(G47&gt;0,1,0)) * (J46 * (1-J46))</f>
        <v>4.5584646643177492E-4</v>
      </c>
      <c r="Q51" s="16"/>
      <c r="R51" s="16"/>
      <c r="S51" s="16"/>
      <c r="T51" s="16"/>
      <c r="U51" s="18"/>
      <c r="V51" s="18"/>
      <c r="W51" s="10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1"/>
    </row>
    <row r="52" spans="1:41">
      <c r="A52" s="19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0"/>
      <c r="N52" s="11"/>
      <c r="O52" s="18"/>
      <c r="P52" s="18"/>
      <c r="Q52" s="18"/>
      <c r="R52" s="18"/>
      <c r="S52" s="18"/>
      <c r="T52" s="18"/>
      <c r="U52" s="18"/>
      <c r="V52" s="18"/>
      <c r="W52" s="10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1"/>
    </row>
    <row r="53" spans="1:4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30"/>
      <c r="N53" s="30"/>
      <c r="O53" s="49"/>
      <c r="P53" s="49"/>
      <c r="Q53" s="49"/>
      <c r="R53" s="49"/>
      <c r="S53" s="49"/>
      <c r="T53" s="49"/>
      <c r="U53" s="49"/>
      <c r="V53" s="49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50"/>
    </row>
    <row r="55" spans="1:41" ht="15" customHeight="1">
      <c r="A55" s="53" t="s">
        <v>13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spans="1:41" ht="1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spans="1:41" ht="15" customHeight="1">
      <c r="A57" s="54" t="s">
        <v>14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10"/>
      <c r="N57" s="11"/>
      <c r="O57" s="55" t="s">
        <v>15</v>
      </c>
      <c r="P57" s="55"/>
      <c r="Q57" s="55"/>
      <c r="R57" s="55"/>
      <c r="S57" s="55"/>
      <c r="T57" s="55"/>
      <c r="U57" s="55"/>
      <c r="V57" s="55"/>
      <c r="W57" s="10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1"/>
    </row>
    <row r="58" spans="1:41" ht="15" customHeight="1">
      <c r="A58" s="54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10"/>
      <c r="N58" s="11"/>
      <c r="O58" s="55"/>
      <c r="P58" s="55"/>
      <c r="Q58" s="55"/>
      <c r="R58" s="55"/>
      <c r="S58" s="55"/>
      <c r="T58" s="55"/>
      <c r="U58" s="55"/>
      <c r="V58" s="55"/>
      <c r="W58" s="10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1"/>
    </row>
    <row r="59" spans="1:41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6"/>
      <c r="L59" s="17" t="s">
        <v>16</v>
      </c>
      <c r="M59" s="10"/>
      <c r="N59" s="11"/>
      <c r="O59" s="16"/>
      <c r="P59" s="18"/>
      <c r="Q59" s="18"/>
      <c r="R59" s="18"/>
      <c r="S59" s="18"/>
      <c r="T59" s="18"/>
      <c r="U59" s="18"/>
      <c r="V59" s="17" t="s">
        <v>16</v>
      </c>
      <c r="W59" s="10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1"/>
    </row>
    <row r="60" spans="1:41">
      <c r="A60" s="19"/>
      <c r="B60" s="20">
        <f>$A$3</f>
        <v>1.2E-2</v>
      </c>
      <c r="C60" s="57">
        <f>AH28</f>
        <v>0.27996083522137344</v>
      </c>
      <c r="D60" s="16"/>
      <c r="E60" s="16"/>
      <c r="F60" s="16"/>
      <c r="G60" s="16"/>
      <c r="H60" s="16"/>
      <c r="I60" s="16"/>
      <c r="J60" s="16"/>
      <c r="K60" s="16"/>
      <c r="L60" s="18"/>
      <c r="M60" s="10"/>
      <c r="N60" s="11"/>
      <c r="O60" s="16"/>
      <c r="P60" s="57">
        <f>((J65-$D$3)) * B60 * H64 * (IF(G64&gt;0,1,0)) * (J65 * (1-J65))</f>
        <v>-7.6944396745909564E-5</v>
      </c>
      <c r="Q60" s="16"/>
      <c r="R60" s="16"/>
      <c r="S60" s="16"/>
      <c r="T60" s="16"/>
      <c r="U60" s="18"/>
      <c r="V60" s="18"/>
      <c r="W60" s="10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1"/>
    </row>
    <row r="61" spans="1:41">
      <c r="A61" s="21" t="s">
        <v>17</v>
      </c>
      <c r="B61" s="20">
        <f>$B$3</f>
        <v>0.6</v>
      </c>
      <c r="C61" s="57">
        <f t="shared" ref="C61:C62" si="0">AH29</f>
        <v>0.88790056593350852</v>
      </c>
      <c r="D61" s="22">
        <f>AI29</f>
        <v>0.33764921529674469</v>
      </c>
      <c r="E61" s="23"/>
      <c r="F61" s="16"/>
      <c r="G61" s="16"/>
      <c r="H61" s="16"/>
      <c r="I61" s="16"/>
      <c r="J61" s="16"/>
      <c r="K61" s="16"/>
      <c r="L61" s="18"/>
      <c r="M61" s="10"/>
      <c r="N61" s="11"/>
      <c r="O61" s="17" t="s">
        <v>17</v>
      </c>
      <c r="P61" s="57">
        <f>((J65-$D$3)) * B61 * H65 * (IF(G65&gt;0,1,0)) * (J65* (1-J65))</f>
        <v>-5.1315854096765055E-3</v>
      </c>
      <c r="Q61" s="22">
        <f>((J65-$D$3)) * H64* (IF(G64&gt;0,1,0)) * (J65 * (1-J65))</f>
        <v>-6.4120330621591304E-3</v>
      </c>
      <c r="R61" s="23"/>
      <c r="S61" s="16"/>
      <c r="T61" s="16"/>
      <c r="U61" s="18"/>
      <c r="V61" s="18"/>
      <c r="W61" s="10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1"/>
    </row>
    <row r="62" spans="1:41">
      <c r="A62" s="19"/>
      <c r="B62" s="20">
        <f>$C$3</f>
        <v>0.01</v>
      </c>
      <c r="C62" s="57">
        <f t="shared" si="0"/>
        <v>0.73990345640505051</v>
      </c>
      <c r="D62" s="16"/>
      <c r="E62" s="24"/>
      <c r="F62" s="16"/>
      <c r="G62" s="16"/>
      <c r="H62" s="16"/>
      <c r="I62" s="16"/>
      <c r="J62" s="16"/>
      <c r="K62" s="16"/>
      <c r="L62" s="18"/>
      <c r="M62" s="10"/>
      <c r="N62" s="11"/>
      <c r="O62" s="18"/>
      <c r="P62" s="57">
        <f>((J65-$D$3)) * B62 * H64* (IF(G64&gt;0,1,0))* (J65 * (1-J65))</f>
        <v>-6.4120330621591305E-5</v>
      </c>
      <c r="Q62" s="16"/>
      <c r="R62" s="24"/>
      <c r="S62" s="16"/>
      <c r="T62" s="16"/>
      <c r="U62" s="18"/>
      <c r="V62" s="18"/>
      <c r="W62" s="10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1"/>
    </row>
    <row r="63" spans="1:41">
      <c r="A63" s="19"/>
      <c r="B63" s="16"/>
      <c r="C63" s="16"/>
      <c r="D63" s="16"/>
      <c r="E63" s="24"/>
      <c r="F63" s="16"/>
      <c r="G63" s="16"/>
      <c r="H63" s="16"/>
      <c r="I63" s="16"/>
      <c r="J63" s="16"/>
      <c r="K63" s="16"/>
      <c r="L63" s="18"/>
      <c r="M63" s="10"/>
      <c r="N63" s="11"/>
      <c r="O63" s="18"/>
      <c r="P63" s="16"/>
      <c r="Q63" s="16"/>
      <c r="R63" s="24"/>
      <c r="S63" s="16"/>
      <c r="T63" s="16"/>
      <c r="U63" s="18"/>
      <c r="V63" s="18"/>
      <c r="W63" s="10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1"/>
    </row>
    <row r="64" spans="1:41">
      <c r="A64" s="19"/>
      <c r="B64" s="20">
        <f>$A$3</f>
        <v>1.2E-2</v>
      </c>
      <c r="C64" s="57">
        <f>AH32</f>
        <v>8.9947780295164523E-2</v>
      </c>
      <c r="D64" s="16"/>
      <c r="E64" s="24"/>
      <c r="F64" s="16"/>
      <c r="G64" s="25">
        <f>MAX(0,(B60*C60) +(B61*C61) + (B62*C62) + D61)</f>
        <v>0.88114811944355687</v>
      </c>
      <c r="H64" s="57">
        <f>AL32</f>
        <v>0.71628929748545878</v>
      </c>
      <c r="I64" s="16"/>
      <c r="J64" s="16"/>
      <c r="K64" s="16"/>
      <c r="L64" s="18"/>
      <c r="M64" s="10"/>
      <c r="N64" s="11"/>
      <c r="O64" s="18"/>
      <c r="P64" s="57">
        <f>((J65-$D$3)) * B64 * H65* (IF(G65&gt;0,1,0))* (J65 * (1-J65))</f>
        <v>-1.0263170819353012E-4</v>
      </c>
      <c r="Q64" s="16"/>
      <c r="R64" s="24"/>
      <c r="S64" s="16"/>
      <c r="T64" s="57">
        <f>((J65-$D$3)) * G64 * (J65 * (1-J65))</f>
        <v>-7.8878057990893376E-3</v>
      </c>
      <c r="U64" s="16"/>
      <c r="V64" s="18"/>
      <c r="W64" s="10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1"/>
    </row>
    <row r="65" spans="1:41">
      <c r="A65" s="21" t="s">
        <v>18</v>
      </c>
      <c r="B65" s="20">
        <f>$B$3</f>
        <v>0.6</v>
      </c>
      <c r="C65" s="57">
        <f t="shared" ref="C65:C66" si="1">AH33</f>
        <v>0.97714556226516935</v>
      </c>
      <c r="D65" s="22">
        <f>AI33</f>
        <v>0.52686562039565965</v>
      </c>
      <c r="E65" s="24"/>
      <c r="F65" s="17" t="s">
        <v>19</v>
      </c>
      <c r="G65" s="25">
        <f>MAX(0,(B64*C64) +(B65*C65) + (B66*C66) + D65)</f>
        <v>1.1240316212758947</v>
      </c>
      <c r="H65" s="57">
        <f t="shared" ref="H65:H66" si="2">AL33</f>
        <v>0.95541712289250436</v>
      </c>
      <c r="I65" s="26">
        <f>AM33</f>
        <v>0.31673502124547875</v>
      </c>
      <c r="J65" s="27">
        <f>1 / (1 + EXP(-((G64*H64) +(G65*H65) + (G66*H66) + I65)))</f>
        <v>0.90028423563130855</v>
      </c>
      <c r="K65" s="28">
        <f>((J65-$D$3))</f>
        <v>-9.9715764368691451E-2</v>
      </c>
      <c r="L65" s="18"/>
      <c r="M65" s="10"/>
      <c r="N65" s="11"/>
      <c r="O65" s="17" t="s">
        <v>18</v>
      </c>
      <c r="P65" s="57">
        <f>((J65-$D$3)) * B65 * H65* (IF(G65&gt;0,1,0))* (J65 * (1-J65))</f>
        <v>-5.1315854096765055E-3</v>
      </c>
      <c r="Q65" s="22">
        <f>((J65-$D$3)) * H65* (IF(G65&gt;0,1,0)) * (J65 * (1-J65))</f>
        <v>-8.5526423494608431E-3</v>
      </c>
      <c r="R65" s="24"/>
      <c r="S65" s="17" t="s">
        <v>19</v>
      </c>
      <c r="T65" s="58">
        <f>((J65-$D$3)) * G65 * (J65 * (1-J65))</f>
        <v>-1.006203491219926E-2</v>
      </c>
      <c r="U65" s="22">
        <f>((J65-$D$3)) * (J65 * (1-J65))</f>
        <v>-8.9517365185667868E-3</v>
      </c>
      <c r="V65" s="18"/>
      <c r="W65" s="10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1"/>
    </row>
    <row r="66" spans="1:41">
      <c r="A66" s="19"/>
      <c r="B66" s="20">
        <f>$C$3</f>
        <v>0.01</v>
      </c>
      <c r="C66" s="57">
        <f t="shared" si="1"/>
        <v>0.97992901575914859</v>
      </c>
      <c r="D66" s="16"/>
      <c r="E66" s="24"/>
      <c r="F66" s="16"/>
      <c r="G66" s="25">
        <f>MAX(0,(B68*C68) +(B69*C69) + (B70*C70) + D69)</f>
        <v>0.90668980080632711</v>
      </c>
      <c r="H66" s="57">
        <f t="shared" si="2"/>
        <v>0.19695346944718611</v>
      </c>
      <c r="I66" s="16"/>
      <c r="J66" s="16"/>
      <c r="K66" s="16"/>
      <c r="L66" s="18"/>
      <c r="M66" s="10"/>
      <c r="N66" s="11"/>
      <c r="O66" s="18"/>
      <c r="P66" s="57">
        <f>(J65-$D$3) * B66 * H65* (IF(G65&gt;0,1,0))* (J65 * (1-J65))</f>
        <v>-8.5526423494608435E-5</v>
      </c>
      <c r="Q66" s="16"/>
      <c r="R66" s="24"/>
      <c r="S66" s="16"/>
      <c r="T66" s="57">
        <f>((J65-$D$3)) * G66 * (J65 * (1-J65))</f>
        <v>-8.1164482008900442E-3</v>
      </c>
      <c r="U66" s="16"/>
      <c r="V66" s="18"/>
      <c r="W66" s="10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1"/>
    </row>
    <row r="67" spans="1:41">
      <c r="A67" s="19"/>
      <c r="B67" s="16"/>
      <c r="C67" s="16"/>
      <c r="D67" s="16"/>
      <c r="E67" s="24"/>
      <c r="F67" s="16"/>
      <c r="G67" s="16"/>
      <c r="H67" s="16"/>
      <c r="I67" s="16"/>
      <c r="J67" s="16"/>
      <c r="K67" s="16"/>
      <c r="L67" s="18"/>
      <c r="M67" s="10"/>
      <c r="N67" s="11"/>
      <c r="O67" s="18"/>
      <c r="P67" s="16"/>
      <c r="Q67" s="16"/>
      <c r="R67" s="24"/>
      <c r="S67" s="16"/>
      <c r="T67" s="16"/>
      <c r="U67" s="18"/>
      <c r="V67" s="18"/>
      <c r="W67" s="10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1"/>
    </row>
    <row r="68" spans="1:41">
      <c r="A68" s="19"/>
      <c r="B68" s="20">
        <f>$A$3</f>
        <v>1.2E-2</v>
      </c>
      <c r="C68" s="57">
        <f>AH36</f>
        <v>0.14998912089482594</v>
      </c>
      <c r="D68" s="16"/>
      <c r="E68" s="24"/>
      <c r="F68" s="16"/>
      <c r="G68" s="16"/>
      <c r="H68" s="16"/>
      <c r="I68" s="16"/>
      <c r="J68" s="16"/>
      <c r="K68" s="16"/>
      <c r="L68" s="18"/>
      <c r="M68" s="10"/>
      <c r="N68" s="11"/>
      <c r="O68" s="18"/>
      <c r="P68" s="57">
        <f>((J65-$D$3)) * B68 * H66* (IF(G66&gt;0,1,0))* (J65 * (1-J65))</f>
        <v>-2.1156906778905644E-5</v>
      </c>
      <c r="Q68" s="16"/>
      <c r="R68" s="24"/>
      <c r="S68" s="16"/>
      <c r="T68" s="16"/>
      <c r="U68" s="18"/>
      <c r="V68" s="18"/>
      <c r="W68" s="10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1"/>
    </row>
    <row r="69" spans="1:41">
      <c r="A69" s="21" t="s">
        <v>20</v>
      </c>
      <c r="B69" s="20">
        <f>$B$3</f>
        <v>0.6</v>
      </c>
      <c r="C69" s="57">
        <f t="shared" ref="C69:C70" si="3">AH37</f>
        <v>0.1294053254719103</v>
      </c>
      <c r="D69" s="22">
        <f>AI37</f>
        <v>0.81934700424909568</v>
      </c>
      <c r="E69" s="29"/>
      <c r="F69" s="16"/>
      <c r="G69" s="16"/>
      <c r="H69" s="16"/>
      <c r="I69" s="16"/>
      <c r="J69" s="16"/>
      <c r="K69" s="16"/>
      <c r="L69" s="18"/>
      <c r="M69" s="10"/>
      <c r="N69" s="11"/>
      <c r="O69" s="17" t="s">
        <v>20</v>
      </c>
      <c r="P69" s="57">
        <f>((J65-$D$3)) * B69 * H66* (IF(G66&gt;0,1,0))* (J65 * (1-J65))</f>
        <v>-1.0578453389452822E-3</v>
      </c>
      <c r="Q69" s="22">
        <f>((J65-$D$3)) * H66* (IF(G66&gt;0,1,0)) * (J65 * (1-J65))</f>
        <v>-1.763075564908804E-3</v>
      </c>
      <c r="R69" s="29"/>
      <c r="S69" s="16"/>
      <c r="T69" s="16"/>
      <c r="U69" s="18"/>
      <c r="V69" s="18"/>
      <c r="W69" s="10"/>
      <c r="X69" s="30"/>
      <c r="Y69" s="30"/>
      <c r="Z69" s="30"/>
      <c r="AA69" s="30"/>
      <c r="AB69" s="30"/>
      <c r="AC69" s="30"/>
      <c r="AD69" s="30"/>
      <c r="AE69" s="30"/>
      <c r="AF69" s="12"/>
      <c r="AG69" s="30"/>
      <c r="AH69" s="30"/>
      <c r="AI69" s="30"/>
      <c r="AJ69" s="30"/>
      <c r="AK69" s="30"/>
      <c r="AL69" s="30"/>
      <c r="AM69" s="30"/>
      <c r="AN69" s="30"/>
      <c r="AO69" s="11"/>
    </row>
    <row r="70" spans="1:41" ht="15" customHeight="1">
      <c r="A70" s="19"/>
      <c r="B70" s="20">
        <f>$C$3</f>
        <v>0.01</v>
      </c>
      <c r="C70" s="57">
        <f t="shared" si="3"/>
        <v>0.78997318233473623</v>
      </c>
      <c r="D70" s="16"/>
      <c r="E70" s="16"/>
      <c r="F70" s="16"/>
      <c r="G70" s="16"/>
      <c r="H70" s="16"/>
      <c r="I70" s="16"/>
      <c r="J70" s="16"/>
      <c r="K70" s="16"/>
      <c r="L70" s="18"/>
      <c r="M70" s="10"/>
      <c r="N70" s="11"/>
      <c r="O70" s="18"/>
      <c r="P70" s="57">
        <f>((J65-$D$3)) * B70 * H66* (IF(G66&gt;0,1,0))* (J65 * (1-J65))</f>
        <v>-1.763075564908804E-5</v>
      </c>
      <c r="Q70" s="16"/>
      <c r="R70" s="16"/>
      <c r="S70" s="16"/>
      <c r="T70" s="16"/>
      <c r="U70" s="18"/>
      <c r="V70" s="18"/>
      <c r="W70" s="31"/>
      <c r="X70" s="55" t="s">
        <v>21</v>
      </c>
      <c r="Y70" s="55"/>
      <c r="Z70" s="55"/>
      <c r="AA70" s="55"/>
      <c r="AB70" s="55"/>
      <c r="AC70" s="55"/>
      <c r="AD70" s="55"/>
      <c r="AE70" s="55"/>
      <c r="AF70" s="31"/>
      <c r="AG70" s="55" t="s">
        <v>22</v>
      </c>
      <c r="AH70" s="55"/>
      <c r="AI70" s="55"/>
      <c r="AJ70" s="55"/>
      <c r="AK70" s="55"/>
      <c r="AL70" s="55"/>
      <c r="AM70" s="55"/>
      <c r="AN70" s="55"/>
      <c r="AO70" s="31"/>
    </row>
    <row r="71" spans="1:41" ht="15" customHeight="1">
      <c r="A71" s="19"/>
      <c r="B71" s="18"/>
      <c r="C71" s="18"/>
      <c r="D71" s="18"/>
      <c r="E71" s="18"/>
      <c r="F71" s="18"/>
      <c r="G71" s="18"/>
      <c r="H71" s="18"/>
      <c r="I71" s="18"/>
      <c r="J71" s="18"/>
      <c r="K71" s="16"/>
      <c r="L71" s="18"/>
      <c r="M71" s="10"/>
      <c r="N71" s="11"/>
      <c r="O71" s="18"/>
      <c r="P71" s="18"/>
      <c r="Q71" s="18"/>
      <c r="R71" s="18"/>
      <c r="S71" s="18"/>
      <c r="T71" s="18"/>
      <c r="U71" s="18"/>
      <c r="V71" s="18"/>
      <c r="W71" s="31"/>
      <c r="X71" s="55"/>
      <c r="Y71" s="55"/>
      <c r="Z71" s="55"/>
      <c r="AA71" s="55"/>
      <c r="AB71" s="55"/>
      <c r="AC71" s="55"/>
      <c r="AD71" s="55"/>
      <c r="AE71" s="55"/>
      <c r="AF71" s="31"/>
      <c r="AG71" s="55"/>
      <c r="AH71" s="55"/>
      <c r="AI71" s="55"/>
      <c r="AJ71" s="55"/>
      <c r="AK71" s="55"/>
      <c r="AL71" s="55"/>
      <c r="AM71" s="55"/>
      <c r="AN71" s="55"/>
      <c r="AO71" s="31"/>
    </row>
    <row r="72" spans="1:41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4"/>
      <c r="L72" s="35" t="s">
        <v>23</v>
      </c>
      <c r="M72" s="10"/>
      <c r="N72" s="11"/>
      <c r="O72" s="33"/>
      <c r="P72" s="33"/>
      <c r="Q72" s="33"/>
      <c r="R72" s="33"/>
      <c r="S72" s="33"/>
      <c r="T72" s="34"/>
      <c r="U72" s="33"/>
      <c r="V72" s="35" t="s">
        <v>23</v>
      </c>
      <c r="W72" s="31"/>
      <c r="X72" s="33"/>
      <c r="Y72" s="34"/>
      <c r="Z72" s="34"/>
      <c r="AA72" s="34"/>
      <c r="AB72" s="34"/>
      <c r="AC72" s="34"/>
      <c r="AD72" s="34"/>
      <c r="AE72" s="34"/>
      <c r="AF72" s="31"/>
      <c r="AG72" s="34"/>
      <c r="AH72" s="33"/>
      <c r="AI72" s="33"/>
      <c r="AJ72" s="34"/>
      <c r="AK72" s="34"/>
      <c r="AL72" s="33"/>
      <c r="AM72" s="33"/>
      <c r="AN72" s="33"/>
      <c r="AO72" s="31"/>
    </row>
    <row r="73" spans="1:41">
      <c r="A73" s="32"/>
      <c r="B73" s="20">
        <f>$A$4</f>
        <v>1.4999999999999999E-2</v>
      </c>
      <c r="C73" s="57">
        <f>AH28</f>
        <v>0.27996083522137344</v>
      </c>
      <c r="D73" s="34"/>
      <c r="E73" s="34"/>
      <c r="F73" s="34"/>
      <c r="G73" s="34"/>
      <c r="H73" s="34"/>
      <c r="I73" s="34"/>
      <c r="J73" s="33"/>
      <c r="K73" s="34"/>
      <c r="L73" s="33"/>
      <c r="M73" s="10"/>
      <c r="N73" s="11"/>
      <c r="O73" s="33"/>
      <c r="P73" s="57">
        <f>((J78-$D$4)) * B73 * H77* (IF(G77&gt;0,1,0)) * (J78 * (1-J78))</f>
        <v>6.6807816908965591E-4</v>
      </c>
      <c r="Q73" s="34"/>
      <c r="R73" s="34"/>
      <c r="S73" s="34"/>
      <c r="T73" s="34"/>
      <c r="U73" s="33"/>
      <c r="V73" s="33"/>
      <c r="W73" s="31"/>
      <c r="X73" s="33"/>
      <c r="Y73" s="57">
        <f>AVERAGE(P60,P73,P86)</f>
        <v>3.9753844090459155E-4</v>
      </c>
      <c r="Z73" s="34"/>
      <c r="AA73" s="34"/>
      <c r="AB73" s="34"/>
      <c r="AC73" s="34"/>
      <c r="AD73" s="34"/>
      <c r="AE73" s="34"/>
      <c r="AF73" s="31"/>
      <c r="AG73" s="34"/>
      <c r="AH73" s="57">
        <f>C73 - ($C$7*Y73)</f>
        <v>0.279921081377283</v>
      </c>
      <c r="AI73" s="34"/>
      <c r="AJ73" s="34"/>
      <c r="AK73" s="34"/>
      <c r="AL73" s="34"/>
      <c r="AM73" s="33"/>
      <c r="AN73" s="33"/>
      <c r="AO73" s="31"/>
    </row>
    <row r="74" spans="1:41">
      <c r="A74" s="36" t="s">
        <v>17</v>
      </c>
      <c r="B74" s="20">
        <f>$B$4</f>
        <v>0.8</v>
      </c>
      <c r="C74" s="57">
        <f t="shared" ref="C74:C75" si="4">AH29</f>
        <v>0.88790056593350852</v>
      </c>
      <c r="D74" s="22">
        <f>AI29</f>
        <v>0.33764921529674469</v>
      </c>
      <c r="E74" s="23"/>
      <c r="F74" s="34"/>
      <c r="G74" s="34"/>
      <c r="H74" s="34"/>
      <c r="I74" s="34"/>
      <c r="J74" s="33"/>
      <c r="K74" s="34"/>
      <c r="L74" s="33"/>
      <c r="M74" s="10"/>
      <c r="N74" s="11"/>
      <c r="O74" s="35" t="s">
        <v>17</v>
      </c>
      <c r="P74" s="57">
        <f>((J78-$D$4)) * B74 * H77* (IF(G77&gt;0,1,0))* (J78 * (1-J78))</f>
        <v>3.5630835684781655E-2</v>
      </c>
      <c r="Q74" s="22">
        <f>((J78-$D$4)) * H77* (IF(G77&gt;0,1,0)) * (J78 * (1-J78))</f>
        <v>4.453854460597706E-2</v>
      </c>
      <c r="R74" s="23"/>
      <c r="S74" s="34"/>
      <c r="T74" s="34"/>
      <c r="U74" s="33"/>
      <c r="V74" s="33"/>
      <c r="W74" s="31"/>
      <c r="X74" s="35" t="s">
        <v>17</v>
      </c>
      <c r="Y74" s="57">
        <f>AVERAGE(P61,P74,P87)</f>
        <v>2.1304963987442985E-2</v>
      </c>
      <c r="Z74" s="37">
        <f>AVERAGE(Q61,Q74,Q87)</f>
        <v>2.3847384410347245E-2</v>
      </c>
      <c r="AA74" s="23"/>
      <c r="AB74" s="34"/>
      <c r="AC74" s="34"/>
      <c r="AD74" s="34"/>
      <c r="AE74" s="34"/>
      <c r="AF74" s="31"/>
      <c r="AG74" s="35" t="s">
        <v>17</v>
      </c>
      <c r="AH74" s="58">
        <f>C74 - ($C$7*Y74)</f>
        <v>0.88577006953476423</v>
      </c>
      <c r="AI74" s="38">
        <f>D74-($C$7 * Z74)</f>
        <v>0.33526447685570998</v>
      </c>
      <c r="AJ74" s="23"/>
      <c r="AK74" s="34"/>
      <c r="AL74" s="34"/>
      <c r="AM74" s="33"/>
      <c r="AN74" s="33"/>
      <c r="AO74" s="31"/>
    </row>
    <row r="75" spans="1:41">
      <c r="A75" s="32"/>
      <c r="B75" s="20">
        <f>$C$4</f>
        <v>0.03</v>
      </c>
      <c r="C75" s="57">
        <f t="shared" si="4"/>
        <v>0.73990345640505051</v>
      </c>
      <c r="D75" s="16"/>
      <c r="E75" s="24"/>
      <c r="F75" s="34"/>
      <c r="G75" s="34"/>
      <c r="H75" s="34"/>
      <c r="I75" s="34"/>
      <c r="J75" s="33"/>
      <c r="K75" s="34"/>
      <c r="L75" s="33"/>
      <c r="M75" s="10"/>
      <c r="N75" s="11"/>
      <c r="O75" s="33"/>
      <c r="P75" s="57">
        <f>((J78-$D$4)) * B75 * H77* (IF(G77&gt;0,1,0))* (J78 * (1-J78))</f>
        <v>1.3361563381793118E-3</v>
      </c>
      <c r="Q75" s="34"/>
      <c r="R75" s="24"/>
      <c r="S75" s="34"/>
      <c r="T75" s="34"/>
      <c r="U75" s="33"/>
      <c r="V75" s="33"/>
      <c r="W75" s="31"/>
      <c r="X75" s="33"/>
      <c r="Y75" s="57">
        <f>AVERAGE(P62,P75,P88)</f>
        <v>9.8093936397297015E-4</v>
      </c>
      <c r="Z75" s="34"/>
      <c r="AA75" s="24"/>
      <c r="AB75" s="34"/>
      <c r="AC75" s="34"/>
      <c r="AD75" s="34"/>
      <c r="AE75" s="34"/>
      <c r="AF75" s="31"/>
      <c r="AG75" s="33"/>
      <c r="AH75" s="57">
        <f>C75 - ($C$7*Y75)</f>
        <v>0.73980536246865325</v>
      </c>
      <c r="AI75" s="34"/>
      <c r="AJ75" s="24"/>
      <c r="AK75" s="34"/>
      <c r="AL75" s="34"/>
      <c r="AM75" s="33"/>
      <c r="AN75" s="33"/>
      <c r="AO75" s="31"/>
    </row>
    <row r="76" spans="1:41">
      <c r="A76" s="32"/>
      <c r="B76" s="34"/>
      <c r="C76" s="16"/>
      <c r="D76" s="16"/>
      <c r="E76" s="24"/>
      <c r="F76" s="34"/>
      <c r="G76" s="34"/>
      <c r="H76" s="34"/>
      <c r="I76" s="34"/>
      <c r="J76" s="33"/>
      <c r="K76" s="34"/>
      <c r="L76" s="33"/>
      <c r="M76" s="39"/>
      <c r="N76" s="11"/>
      <c r="O76" s="33"/>
      <c r="P76" s="34"/>
      <c r="Q76" s="34"/>
      <c r="R76" s="24"/>
      <c r="S76" s="34"/>
      <c r="T76" s="34"/>
      <c r="U76" s="33"/>
      <c r="V76" s="33"/>
      <c r="W76" s="31"/>
      <c r="X76" s="33"/>
      <c r="Y76" s="34"/>
      <c r="Z76" s="34"/>
      <c r="AA76" s="24"/>
      <c r="AB76" s="34"/>
      <c r="AC76" s="34"/>
      <c r="AD76" s="34"/>
      <c r="AE76" s="34"/>
      <c r="AF76" s="31"/>
      <c r="AG76" s="33"/>
      <c r="AH76" s="34"/>
      <c r="AI76" s="34"/>
      <c r="AJ76" s="24"/>
      <c r="AK76" s="34"/>
      <c r="AL76" s="34"/>
      <c r="AM76" s="33"/>
      <c r="AN76" s="33"/>
      <c r="AO76" s="31"/>
    </row>
    <row r="77" spans="1:41">
      <c r="A77" s="32"/>
      <c r="B77" s="20">
        <f>$A$4</f>
        <v>1.4999999999999999E-2</v>
      </c>
      <c r="C77" s="57">
        <f>AH32</f>
        <v>8.9947780295164523E-2</v>
      </c>
      <c r="D77" s="16"/>
      <c r="E77" s="24"/>
      <c r="F77" s="33"/>
      <c r="G77" s="40">
        <f>MAX(0,(B73*C73) +(B74*C74) + (B75*C75) + D74)</f>
        <v>1.0743661842640237</v>
      </c>
      <c r="H77" s="59">
        <f>AL32</f>
        <v>0.71628929748545878</v>
      </c>
      <c r="I77" s="34"/>
      <c r="J77" s="34"/>
      <c r="K77" s="33"/>
      <c r="L77" s="34"/>
      <c r="M77" s="34"/>
      <c r="N77" s="41"/>
      <c r="O77" s="33"/>
      <c r="P77" s="57">
        <f>((J78-$D$4)) * B77 * H78* (IF(G78&gt;0,1,0))* (J78 * (1-J78))</f>
        <v>8.911110698144822E-4</v>
      </c>
      <c r="Q77" s="34"/>
      <c r="R77" s="24"/>
      <c r="S77" s="33"/>
      <c r="T77" s="57">
        <f>((J65-$D$4)) * G77 * (J78 * (1-J78))</f>
        <v>6.4825183654137725E-2</v>
      </c>
      <c r="U77" s="34"/>
      <c r="V77" s="33"/>
      <c r="W77" s="41"/>
      <c r="X77" s="33"/>
      <c r="Y77" s="57">
        <f>AVERAGE(P64,P77,P90)</f>
        <v>5.3025367652648377E-4</v>
      </c>
      <c r="Z77" s="34"/>
      <c r="AA77" s="24"/>
      <c r="AB77" s="33"/>
      <c r="AC77" s="57">
        <f>AVERAGE(T64,T77,T90)</f>
        <v>3.7696354441221554E-2</v>
      </c>
      <c r="AD77" s="34"/>
      <c r="AE77" s="34"/>
      <c r="AF77" s="41"/>
      <c r="AG77" s="33"/>
      <c r="AH77" s="57">
        <f>C77 - ($C$7*Y77)</f>
        <v>8.989475492751188E-2</v>
      </c>
      <c r="AI77" s="34"/>
      <c r="AJ77" s="24"/>
      <c r="AK77" s="34"/>
      <c r="AL77" s="57">
        <f>H77-($C$7 * AC77)</f>
        <v>0.71251966204133665</v>
      </c>
      <c r="AM77" s="34"/>
      <c r="AN77" s="33"/>
      <c r="AO77" s="31"/>
    </row>
    <row r="78" spans="1:41">
      <c r="A78" s="36" t="s">
        <v>18</v>
      </c>
      <c r="B78" s="20">
        <f>$B$4</f>
        <v>0.8</v>
      </c>
      <c r="C78" s="57">
        <f t="shared" ref="C78:C79" si="5">AH33</f>
        <v>0.97714556226516935</v>
      </c>
      <c r="D78" s="22">
        <f>AI33</f>
        <v>0.52686562039565965</v>
      </c>
      <c r="E78" s="24"/>
      <c r="F78" s="35" t="s">
        <v>19</v>
      </c>
      <c r="G78" s="25">
        <f>MAX(0,(B77*C77) +(B78*C78) + (B79*C79) + D78)</f>
        <v>1.339329157384997</v>
      </c>
      <c r="H78" s="59">
        <f t="shared" ref="H78:H79" si="6">AL33</f>
        <v>0.95541712289250436</v>
      </c>
      <c r="I78" s="38">
        <f>AM33</f>
        <v>0.31673502124547875</v>
      </c>
      <c r="J78" s="27">
        <f>1 / (1 + EXP(-((G77*H77) +(G78*H78) + (G79*H79) + I78)))</f>
        <v>0.92776028890100315</v>
      </c>
      <c r="K78" s="28">
        <f>((J78-$D$4))</f>
        <v>0.92776028890100315</v>
      </c>
      <c r="L78" s="33"/>
      <c r="M78" s="42">
        <f>AVERAGE(J65,J78,J91)</f>
        <v>0.9253821481803004</v>
      </c>
      <c r="N78" s="34"/>
      <c r="O78" s="35" t="s">
        <v>18</v>
      </c>
      <c r="P78" s="57">
        <f>((J78-$D$4)) * B78 * H78* (IF(G78&gt;0,1,0))* (J78 * (1-J78))</f>
        <v>4.7525923723439049E-2</v>
      </c>
      <c r="Q78" s="22">
        <f>((J78-$D$4)) * H78* (IF(G78&gt;0,1,0)) * (J78 * (1-J78))</f>
        <v>5.9407404654298807E-2</v>
      </c>
      <c r="R78" s="24"/>
      <c r="S78" s="35" t="s">
        <v>19</v>
      </c>
      <c r="T78" s="58">
        <f>((J65-$D$4)) * G78 * (J78 * (1-J78))</f>
        <v>8.0812538473835224E-2</v>
      </c>
      <c r="U78" s="22">
        <f>((J78-$D$4)) * (J78 * (1-J78))</f>
        <v>6.2179547792114293E-2</v>
      </c>
      <c r="V78" s="33"/>
      <c r="W78" s="33"/>
      <c r="X78" s="36" t="s">
        <v>18</v>
      </c>
      <c r="Y78" s="57">
        <f>AVERAGE(P65,P78,P91)</f>
        <v>2.8988514029744911E-2</v>
      </c>
      <c r="Z78" s="22">
        <f>AVERAGE(Q65,Q78,Q91)</f>
        <v>3.1808655360103383E-2</v>
      </c>
      <c r="AA78" s="24"/>
      <c r="AB78" s="35" t="s">
        <v>19</v>
      </c>
      <c r="AC78" s="58">
        <f>AVERAGE(T65,T78,T91)</f>
        <v>4.6539216406205418E-2</v>
      </c>
      <c r="AD78" s="38">
        <f>AVERAGE(U65,U78,U91)</f>
        <v>3.3292950898559763E-2</v>
      </c>
      <c r="AE78" s="34"/>
      <c r="AF78" s="34"/>
      <c r="AG78" s="35" t="s">
        <v>18</v>
      </c>
      <c r="AH78" s="58">
        <f>C78 - ($C$7*Y78)</f>
        <v>0.97424671086219483</v>
      </c>
      <c r="AI78" s="38">
        <f>D78-($C$7 * Z78)</f>
        <v>0.52368475485964927</v>
      </c>
      <c r="AJ78" s="24"/>
      <c r="AK78" s="35" t="s">
        <v>19</v>
      </c>
      <c r="AL78" s="58">
        <f>H78-($C$7 * AC78)</f>
        <v>0.95076320125188385</v>
      </c>
      <c r="AM78" s="38">
        <f>I78 - ($C$7 * AD78)</f>
        <v>0.31340572615562279</v>
      </c>
      <c r="AN78" s="33"/>
      <c r="AO78" s="31"/>
    </row>
    <row r="79" spans="1:41">
      <c r="A79" s="32"/>
      <c r="B79" s="20">
        <f>$C$4</f>
        <v>0.03</v>
      </c>
      <c r="C79" s="57">
        <f t="shared" si="5"/>
        <v>0.97992901575914859</v>
      </c>
      <c r="D79" s="16"/>
      <c r="E79" s="24"/>
      <c r="F79" s="34"/>
      <c r="G79" s="43">
        <f>MAX(0,(B81*C81) +(B82*C82) + (B83*C83) + D82)</f>
        <v>0.9488202969100884</v>
      </c>
      <c r="H79" s="59">
        <f t="shared" si="6"/>
        <v>0.19695346944718611</v>
      </c>
      <c r="I79" s="34"/>
      <c r="J79" s="34"/>
      <c r="K79" s="33"/>
      <c r="L79" s="34"/>
      <c r="M79" s="34"/>
      <c r="N79" s="44"/>
      <c r="O79" s="33"/>
      <c r="P79" s="57">
        <f>((J78-$D$4)) * B79 * H78* (IF(G78&gt;0,1,0))* (J78 * (1-J78))</f>
        <v>1.7822221396289644E-3</v>
      </c>
      <c r="Q79" s="34"/>
      <c r="R79" s="24"/>
      <c r="S79" s="34"/>
      <c r="T79" s="57">
        <f>((J65-$D$4)) * G79 * (J78 * (1-J78))</f>
        <v>5.7249986925179144E-2</v>
      </c>
      <c r="U79" s="34"/>
      <c r="V79" s="33"/>
      <c r="W79" s="44"/>
      <c r="X79" s="33"/>
      <c r="Y79" s="57">
        <f>AVERAGE(P66,P79,P92)</f>
        <v>7.1869997973500607E-4</v>
      </c>
      <c r="Z79" s="34"/>
      <c r="AA79" s="24"/>
      <c r="AB79" s="34"/>
      <c r="AC79" s="57">
        <f>AVERAGE(T66,T79,T92)</f>
        <v>3.1010287775888646E-2</v>
      </c>
      <c r="AD79" s="34"/>
      <c r="AE79" s="34"/>
      <c r="AF79" s="44"/>
      <c r="AG79" s="33"/>
      <c r="AH79" s="57">
        <f>C79 - ($C$7*Y79)</f>
        <v>0.97985714576117511</v>
      </c>
      <c r="AI79" s="34"/>
      <c r="AJ79" s="24"/>
      <c r="AK79" s="34"/>
      <c r="AL79" s="57">
        <f>H79-($C$7 * AC79)</f>
        <v>0.19385244066959725</v>
      </c>
      <c r="AM79" s="34"/>
      <c r="AN79" s="33"/>
      <c r="AO79" s="31"/>
    </row>
    <row r="80" spans="1:41">
      <c r="A80" s="32"/>
      <c r="B80" s="34"/>
      <c r="C80" s="16"/>
      <c r="D80" s="16"/>
      <c r="E80" s="24"/>
      <c r="F80" s="34"/>
      <c r="G80" s="34"/>
      <c r="H80" s="34"/>
      <c r="I80" s="34"/>
      <c r="J80" s="34"/>
      <c r="K80" s="34"/>
      <c r="L80" s="33"/>
      <c r="M80" s="45"/>
      <c r="N80" s="11"/>
      <c r="O80" s="33"/>
      <c r="P80" s="34"/>
      <c r="Q80" s="34"/>
      <c r="R80" s="24"/>
      <c r="S80" s="34"/>
      <c r="T80" s="34"/>
      <c r="U80" s="33"/>
      <c r="V80" s="33"/>
      <c r="W80" s="31"/>
      <c r="X80" s="33"/>
      <c r="Y80" s="34"/>
      <c r="Z80" s="34"/>
      <c r="AA80" s="24"/>
      <c r="AB80" s="34"/>
      <c r="AC80" s="34"/>
      <c r="AD80" s="34"/>
      <c r="AE80" s="34"/>
      <c r="AF80" s="31"/>
      <c r="AG80" s="33"/>
      <c r="AH80" s="34"/>
      <c r="AI80" s="34"/>
      <c r="AJ80" s="24"/>
      <c r="AK80" s="34"/>
      <c r="AL80" s="34"/>
      <c r="AM80" s="34"/>
      <c r="AN80" s="33"/>
      <c r="AO80" s="31"/>
    </row>
    <row r="81" spans="1:41">
      <c r="A81" s="32"/>
      <c r="B81" s="20">
        <f>$A$4</f>
        <v>1.4999999999999999E-2</v>
      </c>
      <c r="C81" s="57">
        <f>AH36</f>
        <v>0.14998912089482594</v>
      </c>
      <c r="D81" s="16"/>
      <c r="E81" s="24"/>
      <c r="F81" s="34"/>
      <c r="G81" s="34"/>
      <c r="H81" s="34"/>
      <c r="I81" s="34"/>
      <c r="J81" s="33"/>
      <c r="K81" s="34"/>
      <c r="L81" s="33"/>
      <c r="M81" s="10"/>
      <c r="N81" s="11"/>
      <c r="O81" s="33"/>
      <c r="P81" s="57">
        <f>(J78-$D$4) * B81 * H79* (IF(G79&gt;0,1,0))* (J78 * (1-J78))</f>
        <v>1.8369716499471049E-4</v>
      </c>
      <c r="Q81" s="34"/>
      <c r="R81" s="24"/>
      <c r="S81" s="34"/>
      <c r="T81" s="34"/>
      <c r="U81" s="33"/>
      <c r="V81" s="33"/>
      <c r="W81" s="31"/>
      <c r="X81" s="33"/>
      <c r="Y81" s="57">
        <f>AVERAGE(P68,P81,P94)</f>
        <v>1.0930859284041442E-4</v>
      </c>
      <c r="Z81" s="34"/>
      <c r="AA81" s="24"/>
      <c r="AB81" s="34"/>
      <c r="AC81" s="34"/>
      <c r="AD81" s="34"/>
      <c r="AE81" s="34"/>
      <c r="AF81" s="31"/>
      <c r="AG81" s="33"/>
      <c r="AH81" s="57">
        <f>C81 - ($C$7*Y81)</f>
        <v>0.14997819003554189</v>
      </c>
      <c r="AI81" s="34"/>
      <c r="AJ81" s="24"/>
      <c r="AK81" s="34"/>
      <c r="AL81" s="34"/>
      <c r="AM81" s="33"/>
      <c r="AN81" s="33"/>
      <c r="AO81" s="31"/>
    </row>
    <row r="82" spans="1:41">
      <c r="A82" s="36" t="s">
        <v>20</v>
      </c>
      <c r="B82" s="20">
        <f>$B$4</f>
        <v>0.8</v>
      </c>
      <c r="C82" s="57">
        <f t="shared" ref="C82:C83" si="7">AH37</f>
        <v>0.1294053254719103</v>
      </c>
      <c r="D82" s="22">
        <f>AI37</f>
        <v>0.81934700424909568</v>
      </c>
      <c r="E82" s="29"/>
      <c r="F82" s="34"/>
      <c r="G82" s="34"/>
      <c r="H82" s="34"/>
      <c r="I82" s="34"/>
      <c r="J82" s="33"/>
      <c r="K82" s="34"/>
      <c r="L82" s="33"/>
      <c r="M82" s="10"/>
      <c r="N82" s="11"/>
      <c r="O82" s="35" t="s">
        <v>20</v>
      </c>
      <c r="P82" s="57">
        <f>((J78-$D$4)) * B82 * H79* (IF(G79&gt;0,1,0))* (J78 * (1-J78))</f>
        <v>9.7971821330512261E-3</v>
      </c>
      <c r="Q82" s="22">
        <f>((J78-$D$4)) * H79* (IF(G79&gt;0,1,0)) * (J78 * (1-J78))</f>
        <v>1.2246477666314032E-2</v>
      </c>
      <c r="R82" s="29"/>
      <c r="S82" s="34"/>
      <c r="T82" s="34"/>
      <c r="U82" s="33"/>
      <c r="V82" s="33"/>
      <c r="W82" s="31"/>
      <c r="X82" s="35" t="s">
        <v>20</v>
      </c>
      <c r="Y82" s="57">
        <f>AVERAGE(P69,P82,P95)</f>
        <v>5.9758070851730627E-3</v>
      </c>
      <c r="Z82" s="22">
        <f>AVERAGE(Q69,Q82,Q95)</f>
        <v>6.5571621876061572E-3</v>
      </c>
      <c r="AA82" s="29"/>
      <c r="AB82" s="34"/>
      <c r="AC82" s="34"/>
      <c r="AD82" s="34"/>
      <c r="AE82" s="34"/>
      <c r="AF82" s="31"/>
      <c r="AG82" s="35" t="s">
        <v>20</v>
      </c>
      <c r="AH82" s="58">
        <f>C82 - ($C$7*Y82)</f>
        <v>0.12880774476339299</v>
      </c>
      <c r="AI82" s="38">
        <f>D82-($C$7 * Z82)</f>
        <v>0.81869128803033508</v>
      </c>
      <c r="AJ82" s="29"/>
      <c r="AK82" s="34"/>
      <c r="AL82" s="34"/>
      <c r="AM82" s="33"/>
      <c r="AN82" s="33"/>
      <c r="AO82" s="31"/>
    </row>
    <row r="83" spans="1:41">
      <c r="A83" s="32"/>
      <c r="B83" s="20">
        <f>$C$4</f>
        <v>0.03</v>
      </c>
      <c r="C83" s="57">
        <f t="shared" si="7"/>
        <v>0.78997318233473623</v>
      </c>
      <c r="D83" s="34"/>
      <c r="E83" s="34"/>
      <c r="F83" s="34"/>
      <c r="G83" s="34"/>
      <c r="H83" s="34"/>
      <c r="I83" s="34"/>
      <c r="J83" s="33"/>
      <c r="K83" s="34"/>
      <c r="L83" s="33"/>
      <c r="M83" s="10"/>
      <c r="N83" s="11"/>
      <c r="O83" s="33"/>
      <c r="P83" s="57">
        <f>((J78-$D$4)) * B83 * H79* (IF(G79&gt;0,1,0))* (J78 * (1-J78))</f>
        <v>3.6739432998942099E-4</v>
      </c>
      <c r="Q83" s="34"/>
      <c r="R83" s="34"/>
      <c r="S83" s="34"/>
      <c r="T83" s="34"/>
      <c r="U83" s="33"/>
      <c r="V83" s="33"/>
      <c r="W83" s="31"/>
      <c r="X83" s="33"/>
      <c r="Y83" s="57">
        <f>AVERAGE(P70,P83,P96)</f>
        <v>2.6972259913699833E-4</v>
      </c>
      <c r="Z83" s="34"/>
      <c r="AA83" s="34"/>
      <c r="AB83" s="34"/>
      <c r="AC83" s="34"/>
      <c r="AD83" s="34"/>
      <c r="AE83" s="34"/>
      <c r="AF83" s="31"/>
      <c r="AG83" s="34"/>
      <c r="AH83" s="57">
        <f>C83 - ($C$7*Y83)</f>
        <v>0.78994621007482257</v>
      </c>
      <c r="AI83" s="34"/>
      <c r="AJ83" s="34"/>
      <c r="AK83" s="34"/>
      <c r="AL83" s="34"/>
      <c r="AM83" s="33"/>
      <c r="AN83" s="33"/>
      <c r="AO83" s="31"/>
    </row>
    <row r="84" spans="1:41">
      <c r="A84" s="32"/>
      <c r="B84" s="33"/>
      <c r="C84" s="33"/>
      <c r="D84" s="33"/>
      <c r="E84" s="33"/>
      <c r="F84" s="33"/>
      <c r="G84" s="33"/>
      <c r="H84" s="33"/>
      <c r="I84" s="33"/>
      <c r="J84" s="33"/>
      <c r="K84" s="34"/>
      <c r="L84" s="33"/>
      <c r="M84" s="10"/>
      <c r="N84" s="11"/>
      <c r="O84" s="33"/>
      <c r="P84" s="33"/>
      <c r="Q84" s="33"/>
      <c r="R84" s="33"/>
      <c r="S84" s="33"/>
      <c r="T84" s="33"/>
      <c r="U84" s="33"/>
      <c r="V84" s="33"/>
      <c r="W84" s="31"/>
      <c r="X84" s="33"/>
      <c r="Y84" s="34"/>
      <c r="Z84" s="34"/>
      <c r="AA84" s="34"/>
      <c r="AB84" s="34"/>
      <c r="AC84" s="34"/>
      <c r="AD84" s="34"/>
      <c r="AE84" s="34"/>
      <c r="AF84" s="31"/>
      <c r="AG84" s="34"/>
      <c r="AH84" s="33"/>
      <c r="AI84" s="33"/>
      <c r="AJ84" s="34"/>
      <c r="AK84" s="34"/>
      <c r="AL84" s="33"/>
      <c r="AM84" s="33"/>
      <c r="AN84" s="33"/>
      <c r="AO84" s="31"/>
    </row>
    <row r="85" spans="1:41">
      <c r="A85" s="19"/>
      <c r="B85" s="18"/>
      <c r="C85" s="18"/>
      <c r="D85" s="18"/>
      <c r="E85" s="18"/>
      <c r="F85" s="18"/>
      <c r="G85" s="18"/>
      <c r="H85" s="18"/>
      <c r="I85" s="18"/>
      <c r="J85" s="16"/>
      <c r="K85" s="18"/>
      <c r="L85" s="17" t="s">
        <v>24</v>
      </c>
      <c r="M85" s="10"/>
      <c r="N85" s="11"/>
      <c r="O85" s="18"/>
      <c r="P85" s="18"/>
      <c r="Q85" s="18"/>
      <c r="R85" s="18"/>
      <c r="S85" s="18"/>
      <c r="T85" s="18"/>
      <c r="U85" s="18"/>
      <c r="V85" s="17" t="s">
        <v>24</v>
      </c>
      <c r="W85" s="10"/>
      <c r="X85" s="46"/>
      <c r="Y85" s="46"/>
      <c r="Z85" s="46"/>
      <c r="AA85" s="46"/>
      <c r="AB85" s="46"/>
      <c r="AC85" s="46"/>
      <c r="AD85" s="46"/>
      <c r="AE85" s="46"/>
      <c r="AF85" s="12"/>
      <c r="AG85" s="46"/>
      <c r="AH85" s="46"/>
      <c r="AI85" s="46"/>
      <c r="AJ85" s="46"/>
      <c r="AK85" s="46"/>
      <c r="AL85" s="46"/>
      <c r="AM85" s="46"/>
      <c r="AN85" s="46"/>
      <c r="AO85" s="11"/>
    </row>
    <row r="86" spans="1:41">
      <c r="A86" s="19"/>
      <c r="B86" s="20">
        <f>$A$5</f>
        <v>1.8000000000000002E-2</v>
      </c>
      <c r="C86" s="57">
        <f>AH28</f>
        <v>0.27996083522137344</v>
      </c>
      <c r="D86" s="16"/>
      <c r="E86" s="16"/>
      <c r="F86" s="16"/>
      <c r="G86" s="16"/>
      <c r="H86" s="16"/>
      <c r="I86" s="16"/>
      <c r="J86" s="18"/>
      <c r="K86" s="18"/>
      <c r="L86" s="18"/>
      <c r="M86" s="10"/>
      <c r="N86" s="11"/>
      <c r="O86" s="18"/>
      <c r="P86" s="57">
        <f>((J91-$D$5)) * B86 * H90* (IF(G90&gt;0,1,0)) * (J91 * (1-J91))</f>
        <v>6.0148155037002848E-4</v>
      </c>
      <c r="Q86" s="16"/>
      <c r="R86" s="16"/>
      <c r="S86" s="16"/>
      <c r="T86" s="16"/>
      <c r="U86" s="18"/>
      <c r="V86" s="18"/>
      <c r="W86" s="10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1"/>
    </row>
    <row r="87" spans="1:41">
      <c r="A87" s="21" t="s">
        <v>17</v>
      </c>
      <c r="B87" s="20">
        <f>$B$5</f>
        <v>1</v>
      </c>
      <c r="C87" s="57">
        <f>AH29</f>
        <v>0.88790056593350852</v>
      </c>
      <c r="D87" s="22">
        <f>AI29</f>
        <v>0.33764921529674469</v>
      </c>
      <c r="E87" s="23"/>
      <c r="F87" s="16"/>
      <c r="G87" s="16"/>
      <c r="H87" s="16"/>
      <c r="I87" s="16"/>
      <c r="J87" s="18"/>
      <c r="K87" s="18"/>
      <c r="L87" s="18"/>
      <c r="M87" s="10"/>
      <c r="N87" s="11"/>
      <c r="O87" s="17" t="s">
        <v>17</v>
      </c>
      <c r="P87" s="57">
        <f>((J91-$D$5)) * B87 * H90* (IF(G90&gt;0,1,0)) * (J91 * (1-J91))</f>
        <v>3.3415641687223802E-2</v>
      </c>
      <c r="Q87" s="22">
        <f>((J91-$D$5)) * H90* (IF(G90&gt;0,1,0)) * (J91 * (1-J91))</f>
        <v>3.3415641687223802E-2</v>
      </c>
      <c r="R87" s="23"/>
      <c r="S87" s="16"/>
      <c r="T87" s="16"/>
      <c r="U87" s="18"/>
      <c r="V87" s="18"/>
      <c r="W87" s="10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1"/>
    </row>
    <row r="88" spans="1:41">
      <c r="A88" s="19"/>
      <c r="B88" s="20">
        <f>$C$5</f>
        <v>0.05</v>
      </c>
      <c r="C88" s="57">
        <f>AH30</f>
        <v>0.73990345640505051</v>
      </c>
      <c r="D88" s="16"/>
      <c r="E88" s="24"/>
      <c r="F88" s="16"/>
      <c r="G88" s="16"/>
      <c r="H88" s="16"/>
      <c r="I88" s="16"/>
      <c r="J88" s="18"/>
      <c r="K88" s="18"/>
      <c r="L88" s="18"/>
      <c r="M88" s="10"/>
      <c r="N88" s="11"/>
      <c r="O88" s="18"/>
      <c r="P88" s="57">
        <f>((J91-$D$5)) * B88 * H90* (IF(G90&gt;0,1,0)) * (J91 * (1-J91))</f>
        <v>1.6707820843611901E-3</v>
      </c>
      <c r="Q88" s="16"/>
      <c r="R88" s="24"/>
      <c r="S88" s="16"/>
      <c r="T88" s="16"/>
      <c r="U88" s="18"/>
      <c r="V88" s="18"/>
      <c r="W88" s="10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1"/>
    </row>
    <row r="89" spans="1:41">
      <c r="A89" s="19"/>
      <c r="B89" s="16"/>
      <c r="C89" s="16"/>
      <c r="D89" s="16"/>
      <c r="E89" s="24"/>
      <c r="F89" s="16"/>
      <c r="G89" s="16"/>
      <c r="H89" s="16"/>
      <c r="I89" s="16"/>
      <c r="J89" s="18"/>
      <c r="K89" s="18"/>
      <c r="L89" s="18"/>
      <c r="M89" s="10"/>
      <c r="N89" s="11"/>
      <c r="O89" s="18"/>
      <c r="P89" s="16"/>
      <c r="Q89" s="16"/>
      <c r="R89" s="24"/>
      <c r="S89" s="16"/>
      <c r="T89" s="16"/>
      <c r="U89" s="18"/>
      <c r="V89" s="18"/>
      <c r="W89" s="10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1"/>
    </row>
    <row r="90" spans="1:41">
      <c r="A90" s="19"/>
      <c r="B90" s="20">
        <f>$A$5</f>
        <v>1.8000000000000002E-2</v>
      </c>
      <c r="C90" s="57">
        <f>AH32</f>
        <v>8.9947780295164523E-2</v>
      </c>
      <c r="D90" s="16"/>
      <c r="E90" s="24"/>
      <c r="F90" s="18"/>
      <c r="G90" s="25">
        <f>MAX(0,(B86*C86) +(B87*C87) + (B88*C88) + D87)</f>
        <v>1.2675842490844904</v>
      </c>
      <c r="H90" s="57">
        <f>AL32</f>
        <v>0.71628929748545878</v>
      </c>
      <c r="I90" s="16"/>
      <c r="J90" s="16"/>
      <c r="K90" s="18"/>
      <c r="L90" s="18"/>
      <c r="M90" s="10"/>
      <c r="N90" s="11"/>
      <c r="O90" s="18"/>
      <c r="P90" s="57">
        <f>((J91-$D$5)) * B90 * H91* (IF(G91&gt;0,1,0)) * (J91 * (1-J91))</f>
        <v>8.0228166795849923E-4</v>
      </c>
      <c r="Q90" s="16"/>
      <c r="R90" s="24"/>
      <c r="S90" s="18"/>
      <c r="T90" s="57">
        <f>((J65-$D$5)) * G90 * (J91 * (1-J91))</f>
        <v>5.6151685468616284E-2</v>
      </c>
      <c r="U90" s="16"/>
      <c r="V90" s="18"/>
      <c r="W90" s="10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1"/>
    </row>
    <row r="91" spans="1:41">
      <c r="A91" s="21" t="s">
        <v>18</v>
      </c>
      <c r="B91" s="47">
        <f>$B$5</f>
        <v>1</v>
      </c>
      <c r="C91" s="57">
        <f>AH33</f>
        <v>0.97714556226516935</v>
      </c>
      <c r="D91" s="22">
        <f>AI33</f>
        <v>0.52686562039565965</v>
      </c>
      <c r="E91" s="24"/>
      <c r="F91" s="17" t="s">
        <v>19</v>
      </c>
      <c r="G91" s="25">
        <f>MAX(0,(B90*C90) +(B91*C91) + (B92*C92) + D91)</f>
        <v>1.5546266934940993</v>
      </c>
      <c r="H91" s="57">
        <f t="shared" ref="H91:H92" si="8">AL33</f>
        <v>0.95541712289250436</v>
      </c>
      <c r="I91" s="37">
        <f>AM33</f>
        <v>0.31673502124547875</v>
      </c>
      <c r="J91" s="27">
        <f>1 / (1 + EXP(-((G90*H90) +(G91*H91) + (G92*H92) + I91)))</f>
        <v>0.9481019200085895</v>
      </c>
      <c r="K91" s="28">
        <f>((J91-$D$5))</f>
        <v>0.9481019200085895</v>
      </c>
      <c r="L91" s="18"/>
      <c r="M91" s="10"/>
      <c r="N91" s="11"/>
      <c r="O91" s="17" t="s">
        <v>18</v>
      </c>
      <c r="P91" s="57">
        <f>((J91-$D$5)) * B91 * H91* (IF(G91&gt;0,1,0)) * (J91 * (1-J91))</f>
        <v>4.4571203775472183E-2</v>
      </c>
      <c r="Q91" s="22">
        <f>((J91-$D$5)) * H91* (IF(G91&gt;0,1,0)) * (J91 * (1-J91))</f>
        <v>4.4571203775472183E-2</v>
      </c>
      <c r="R91" s="24"/>
      <c r="S91" s="17" t="s">
        <v>19</v>
      </c>
      <c r="T91" s="58">
        <f>((J65-$D$5)) * G91 * (J91 * (1-J91))</f>
        <v>6.8867145656980294E-2</v>
      </c>
      <c r="U91" s="22">
        <f>((J91-$D$5)) * (J91 * (1-J91))</f>
        <v>4.6651041422131771E-2</v>
      </c>
      <c r="V91" s="18"/>
      <c r="W91" s="10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1"/>
    </row>
    <row r="92" spans="1:41">
      <c r="A92" s="19"/>
      <c r="B92" s="20">
        <f>$C$5</f>
        <v>0.05</v>
      </c>
      <c r="C92" s="57">
        <f>AH34</f>
        <v>0.97992901575914859</v>
      </c>
      <c r="D92" s="16"/>
      <c r="E92" s="24"/>
      <c r="F92" s="16"/>
      <c r="G92" s="25">
        <f>MAX(0,(B94*C94) +(B95*C95) + (B96*C96) + D95)</f>
        <v>0.9909507930138497</v>
      </c>
      <c r="H92" s="57">
        <f t="shared" si="8"/>
        <v>0.19695346944718611</v>
      </c>
      <c r="I92" s="16"/>
      <c r="J92" s="16"/>
      <c r="K92" s="18"/>
      <c r="L92" s="18"/>
      <c r="M92" s="10"/>
      <c r="N92" s="11"/>
      <c r="O92" s="18"/>
      <c r="P92" s="57">
        <f>((J91-$D$5)) * B92 * H92* (IF(G92&gt;0,1,0)) * (J91 * (1-J91))</f>
        <v>4.594042230706621E-4</v>
      </c>
      <c r="Q92" s="16"/>
      <c r="R92" s="24"/>
      <c r="S92" s="16"/>
      <c r="T92" s="57">
        <f>((J65-$D$5)) * G92 * (J91 * (1-J91))</f>
        <v>4.3897324603376843E-2</v>
      </c>
      <c r="U92" s="16"/>
      <c r="V92" s="18"/>
      <c r="W92" s="10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1"/>
    </row>
    <row r="93" spans="1:41">
      <c r="A93" s="19"/>
      <c r="B93" s="18"/>
      <c r="C93" s="16"/>
      <c r="D93" s="16"/>
      <c r="E93" s="24"/>
      <c r="F93" s="16"/>
      <c r="G93" s="16"/>
      <c r="H93" s="16"/>
      <c r="I93" s="16"/>
      <c r="J93" s="18"/>
      <c r="K93" s="18"/>
      <c r="L93" s="18"/>
      <c r="M93" s="10"/>
      <c r="N93" s="11"/>
      <c r="O93" s="18"/>
      <c r="P93" s="16"/>
      <c r="Q93" s="16"/>
      <c r="R93" s="24"/>
      <c r="S93" s="16"/>
      <c r="T93" s="16"/>
      <c r="U93" s="18"/>
      <c r="V93" s="18"/>
      <c r="W93" s="10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1"/>
    </row>
    <row r="94" spans="1:41">
      <c r="A94" s="19"/>
      <c r="B94" s="20">
        <f>$A$5</f>
        <v>1.8000000000000002E-2</v>
      </c>
      <c r="C94" s="57">
        <f>AH36</f>
        <v>0.14998912089482594</v>
      </c>
      <c r="D94" s="16"/>
      <c r="E94" s="24"/>
      <c r="F94" s="16"/>
      <c r="G94" s="16"/>
      <c r="H94" s="16"/>
      <c r="I94" s="16"/>
      <c r="J94" s="18"/>
      <c r="K94" s="18"/>
      <c r="L94" s="18"/>
      <c r="M94" s="10"/>
      <c r="N94" s="11"/>
      <c r="O94" s="18"/>
      <c r="P94" s="57">
        <f>((J91-$D$5)) * B94 * H92* (IF(G92&gt;0,1,0)) * (J91 * (1-J91))</f>
        <v>1.653855203054384E-4</v>
      </c>
      <c r="Q94" s="16"/>
      <c r="R94" s="24"/>
      <c r="S94" s="16"/>
      <c r="T94" s="16"/>
      <c r="U94" s="18"/>
      <c r="V94" s="18"/>
      <c r="W94" s="10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1"/>
    </row>
    <row r="95" spans="1:41">
      <c r="A95" s="21" t="s">
        <v>20</v>
      </c>
      <c r="B95" s="20">
        <f>$B$5</f>
        <v>1</v>
      </c>
      <c r="C95" s="57">
        <f>AH37</f>
        <v>0.1294053254719103</v>
      </c>
      <c r="D95" s="22">
        <f>AI37</f>
        <v>0.81934700424909568</v>
      </c>
      <c r="E95" s="29"/>
      <c r="F95" s="16"/>
      <c r="G95" s="16"/>
      <c r="H95" s="16"/>
      <c r="I95" s="16"/>
      <c r="J95" s="18"/>
      <c r="K95" s="18"/>
      <c r="L95" s="18"/>
      <c r="M95" s="10"/>
      <c r="N95" s="11"/>
      <c r="O95" s="17" t="s">
        <v>20</v>
      </c>
      <c r="P95" s="57">
        <f>((J91-$D$5)) * B95 * H92* (IF(G92&gt;0,1,0)) * (J91 * (1-J91))</f>
        <v>9.1880844614132436E-3</v>
      </c>
      <c r="Q95" s="22">
        <f>((J91-$D$5)) * H92* (IF(G92&gt;0,1,0)) * (J91 * (1-J91))</f>
        <v>9.1880844614132436E-3</v>
      </c>
      <c r="R95" s="29"/>
      <c r="S95" s="16"/>
      <c r="T95" s="16"/>
      <c r="U95" s="18"/>
      <c r="V95" s="18"/>
      <c r="W95" s="10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1"/>
    </row>
    <row r="96" spans="1:41">
      <c r="A96" s="19"/>
      <c r="B96" s="20">
        <f>$C$5</f>
        <v>0.05</v>
      </c>
      <c r="C96" s="57">
        <f>AH38</f>
        <v>0.78997318233473623</v>
      </c>
      <c r="D96" s="16"/>
      <c r="E96" s="16"/>
      <c r="F96" s="16"/>
      <c r="G96" s="16"/>
      <c r="H96" s="16"/>
      <c r="I96" s="16"/>
      <c r="J96" s="18"/>
      <c r="K96" s="18"/>
      <c r="L96" s="18"/>
      <c r="M96" s="10"/>
      <c r="N96" s="11"/>
      <c r="O96" s="18"/>
      <c r="P96" s="57">
        <f>((J91-$D$5)) * B96 * H92* (IF(G92&gt;0,1,0)) * (J91 * (1-J91))</f>
        <v>4.594042230706621E-4</v>
      </c>
      <c r="Q96" s="16"/>
      <c r="R96" s="16"/>
      <c r="S96" s="16"/>
      <c r="T96" s="16"/>
      <c r="U96" s="18"/>
      <c r="V96" s="18"/>
      <c r="W96" s="10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1"/>
    </row>
    <row r="97" spans="1:41">
      <c r="A97" s="19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0"/>
      <c r="N97" s="11"/>
      <c r="O97" s="18"/>
      <c r="P97" s="18"/>
      <c r="Q97" s="18"/>
      <c r="R97" s="18"/>
      <c r="S97" s="18"/>
      <c r="T97" s="18"/>
      <c r="U97" s="18"/>
      <c r="V97" s="18"/>
      <c r="W97" s="10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1"/>
    </row>
    <row r="98" spans="1:41">
      <c r="A98" s="48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30"/>
      <c r="N98" s="30"/>
      <c r="O98" s="49"/>
      <c r="P98" s="49"/>
      <c r="Q98" s="49"/>
      <c r="R98" s="49"/>
      <c r="S98" s="49"/>
      <c r="T98" s="49"/>
      <c r="U98" s="49"/>
      <c r="V98" s="49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50"/>
    </row>
    <row r="100" spans="1:41" ht="15" customHeight="1">
      <c r="A100" s="53" t="s">
        <v>1</v>
      </c>
      <c r="B100" s="53"/>
      <c r="C100" s="53"/>
      <c r="D100" s="53"/>
      <c r="E100" s="53"/>
      <c r="F100" s="53"/>
      <c r="G100" s="53"/>
      <c r="H100" s="53"/>
      <c r="I100" s="53"/>
      <c r="J100" s="53"/>
      <c r="K100" s="53"/>
    </row>
    <row r="101" spans="1:41" ht="1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</row>
    <row r="102" spans="1:41" ht="15" customHeight="1">
      <c r="A102" s="52" t="s">
        <v>14</v>
      </c>
      <c r="B102" s="52"/>
      <c r="C102" s="52"/>
      <c r="D102" s="52"/>
      <c r="E102" s="52"/>
      <c r="F102" s="52"/>
      <c r="G102" s="52"/>
      <c r="H102" s="52"/>
      <c r="I102" s="52"/>
      <c r="J102" s="52"/>
      <c r="K102" s="52"/>
    </row>
    <row r="103" spans="1:41" ht="1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</row>
    <row r="104" spans="1:41">
      <c r="A104" s="19"/>
      <c r="B104" s="18"/>
      <c r="C104" s="18"/>
      <c r="D104" s="18"/>
      <c r="E104" s="18"/>
      <c r="F104" s="18"/>
      <c r="G104" s="18"/>
      <c r="H104" s="18"/>
      <c r="I104" s="18"/>
      <c r="J104" s="16"/>
      <c r="K104" s="16"/>
    </row>
    <row r="105" spans="1:41">
      <c r="A105" s="19"/>
      <c r="B105" s="20">
        <f>F3</f>
        <v>2.1000000000000001E-2</v>
      </c>
      <c r="C105" s="57">
        <f>AH73</f>
        <v>0.279921081377283</v>
      </c>
      <c r="D105" s="16"/>
      <c r="E105" s="16"/>
      <c r="F105" s="16"/>
      <c r="G105" s="16"/>
      <c r="H105" s="16"/>
      <c r="I105" s="16"/>
      <c r="J105" s="16"/>
      <c r="K105" s="16"/>
    </row>
    <row r="106" spans="1:41">
      <c r="A106" s="21" t="s">
        <v>17</v>
      </c>
      <c r="B106" s="20">
        <f>G3</f>
        <v>1.2</v>
      </c>
      <c r="C106" s="57">
        <f>AH74</f>
        <v>0.88577006953476423</v>
      </c>
      <c r="D106" s="38">
        <f>AI74</f>
        <v>0.33526447685570998</v>
      </c>
      <c r="E106" s="23"/>
      <c r="F106" s="16"/>
      <c r="G106" s="16"/>
      <c r="H106" s="16"/>
      <c r="I106" s="16"/>
      <c r="J106" s="16"/>
      <c r="K106" s="16"/>
    </row>
    <row r="107" spans="1:41">
      <c r="A107" s="19"/>
      <c r="B107" s="20">
        <f>H3</f>
        <v>7.0000000000000007E-2</v>
      </c>
      <c r="C107" s="57">
        <f>AH75</f>
        <v>0.73980536246865325</v>
      </c>
      <c r="D107" s="16"/>
      <c r="E107" s="24"/>
      <c r="F107" s="16"/>
      <c r="G107" s="16"/>
      <c r="H107" s="16"/>
      <c r="I107" s="16"/>
      <c r="J107" s="16"/>
      <c r="K107" s="16"/>
    </row>
    <row r="108" spans="1:41">
      <c r="A108" s="19"/>
      <c r="B108" s="16"/>
      <c r="C108" s="16"/>
      <c r="D108" s="16"/>
      <c r="E108" s="24"/>
      <c r="F108" s="16"/>
      <c r="G108" s="16"/>
      <c r="H108" s="16"/>
      <c r="I108" s="16"/>
      <c r="J108" s="16"/>
      <c r="K108" s="16"/>
    </row>
    <row r="109" spans="1:41">
      <c r="A109" s="19"/>
      <c r="B109" s="20">
        <f>F3</f>
        <v>2.1000000000000001E-2</v>
      </c>
      <c r="C109" s="57">
        <f>AH77</f>
        <v>8.989475492751188E-2</v>
      </c>
      <c r="D109" s="16"/>
      <c r="E109" s="24"/>
      <c r="F109" s="16"/>
      <c r="G109" s="25">
        <f>MAX(0,(B105*C105) +(B106*C106) + (B107*C107) + D106)</f>
        <v>1.4558532783791558</v>
      </c>
      <c r="H109" s="57">
        <f>AL77</f>
        <v>0.71251966204133665</v>
      </c>
      <c r="I109" s="16"/>
      <c r="J109" s="16"/>
      <c r="K109" s="16"/>
    </row>
    <row r="110" spans="1:41">
      <c r="A110" s="21" t="s">
        <v>18</v>
      </c>
      <c r="B110" s="20">
        <f>G3</f>
        <v>1.2</v>
      </c>
      <c r="C110" s="57">
        <f>AH78</f>
        <v>0.97424671086219483</v>
      </c>
      <c r="D110" s="38">
        <f>AI78</f>
        <v>0.52368475485964927</v>
      </c>
      <c r="E110" s="24"/>
      <c r="F110" s="17" t="s">
        <v>19</v>
      </c>
      <c r="G110" s="25">
        <f>MAX(0,(B109*C109) +(B110*C110) + (B111*C111) + D110)</f>
        <v>1.7632585979510429</v>
      </c>
      <c r="H110" s="57">
        <f>AL78</f>
        <v>0.95076320125188385</v>
      </c>
      <c r="I110" s="38">
        <f>AM78</f>
        <v>0.31340572615562279</v>
      </c>
      <c r="J110" s="51">
        <f>IF(1 / (1 + EXP(-((G109*H109) +(G110*H110) + (G111*H111) + I110))) &gt; 0.5,1,0)</f>
        <v>1</v>
      </c>
      <c r="K110" s="18"/>
    </row>
    <row r="111" spans="1:41">
      <c r="A111" s="19"/>
      <c r="B111" s="20">
        <f>H3</f>
        <v>7.0000000000000007E-2</v>
      </c>
      <c r="C111" s="57">
        <f>AH79</f>
        <v>0.97985714576117511</v>
      </c>
      <c r="D111" s="16"/>
      <c r="E111" s="24"/>
      <c r="F111" s="16"/>
      <c r="G111" s="25">
        <f>MAX(0,(B113*C113) +(B114*C114) + (B115*C115) + D114)</f>
        <v>1.0317063584423907</v>
      </c>
      <c r="H111" s="57">
        <f>AL79</f>
        <v>0.19385244066959725</v>
      </c>
      <c r="I111" s="16"/>
      <c r="J111" s="16"/>
      <c r="K111" s="16"/>
    </row>
    <row r="112" spans="1:41">
      <c r="A112" s="19"/>
      <c r="B112" s="16"/>
      <c r="C112" s="16"/>
      <c r="D112" s="16"/>
      <c r="E112" s="24"/>
      <c r="F112" s="16"/>
      <c r="G112" s="16"/>
      <c r="H112" s="16"/>
      <c r="I112" s="16"/>
      <c r="J112" s="16"/>
      <c r="K112" s="16"/>
    </row>
    <row r="113" spans="1:11">
      <c r="A113" s="19"/>
      <c r="B113" s="20">
        <f>F3</f>
        <v>2.1000000000000001E-2</v>
      </c>
      <c r="C113" s="57">
        <f>AH81</f>
        <v>0.14997819003554189</v>
      </c>
      <c r="D113" s="16"/>
      <c r="E113" s="24"/>
      <c r="F113" s="16"/>
      <c r="G113" s="16"/>
      <c r="H113" s="16"/>
      <c r="I113" s="16"/>
      <c r="J113" s="16"/>
      <c r="K113" s="16"/>
    </row>
    <row r="114" spans="1:11">
      <c r="A114" s="21" t="s">
        <v>20</v>
      </c>
      <c r="B114" s="20">
        <f>G3</f>
        <v>1.2</v>
      </c>
      <c r="C114" s="57">
        <f>AH82</f>
        <v>0.12880774476339299</v>
      </c>
      <c r="D114" s="38">
        <f>AI82</f>
        <v>0.81869128803033508</v>
      </c>
      <c r="E114" s="29"/>
      <c r="F114" s="16"/>
      <c r="G114" s="16"/>
      <c r="H114" s="16"/>
      <c r="I114" s="16"/>
      <c r="J114" s="16"/>
      <c r="K114" s="16"/>
    </row>
    <row r="115" spans="1:11">
      <c r="A115" s="19"/>
      <c r="B115" s="20">
        <f>H3</f>
        <v>7.0000000000000007E-2</v>
      </c>
      <c r="C115" s="57">
        <f>AH83</f>
        <v>0.78994621007482257</v>
      </c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9"/>
      <c r="B116" s="18"/>
      <c r="C116" s="18"/>
      <c r="D116" s="18"/>
      <c r="E116" s="18"/>
      <c r="F116" s="18"/>
      <c r="G116" s="18"/>
      <c r="H116" s="18"/>
      <c r="I116" s="18"/>
      <c r="J116" s="18"/>
      <c r="K116" s="16"/>
    </row>
  </sheetData>
  <mergeCells count="14">
    <mergeCell ref="X25:AE26"/>
    <mergeCell ref="AG25:AN26"/>
    <mergeCell ref="A1:D1"/>
    <mergeCell ref="F1:I1"/>
    <mergeCell ref="A10:AO11"/>
    <mergeCell ref="A12:L13"/>
    <mergeCell ref="O12:V13"/>
    <mergeCell ref="A102:K103"/>
    <mergeCell ref="A55:AO56"/>
    <mergeCell ref="A57:L58"/>
    <mergeCell ref="O57:V58"/>
    <mergeCell ref="X70:AE71"/>
    <mergeCell ref="AG70:AN71"/>
    <mergeCell ref="A100:K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2026-05-25T07:55:58Z</dcterms:created>
  <dcterms:modified xsi:type="dcterms:W3CDTF">2026-05-25T08:01:07Z</dcterms:modified>
  <cp:category/>
  <cp:contentStatus/>
</cp:coreProperties>
</file>